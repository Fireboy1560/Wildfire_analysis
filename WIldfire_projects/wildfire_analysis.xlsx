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drawings/drawing3.xml" ContentType="application/vnd.openxmlformats-officedocument.drawing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drawings/drawing4.xml" ContentType="application/vnd.openxmlformats-officedocument.drawing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drawings/drawing6.xml" ContentType="application/vnd.openxmlformats-officedocument.drawing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ireb\Desktop\WIldfire_projects\"/>
    </mc:Choice>
  </mc:AlternateContent>
  <xr:revisionPtr revIDLastSave="0" documentId="13_ncr:1_{3D81925D-F25A-4807-83A7-45C3C01AD84D}" xr6:coauthVersionLast="47" xr6:coauthVersionMax="47" xr10:uidLastSave="{00000000-0000-0000-0000-000000000000}"/>
  <bookViews>
    <workbookView xWindow="11424" yWindow="0" windowWidth="11712" windowHeight="13776" firstSheet="10" activeTab="11" xr2:uid="{CE796B5B-A5CB-4FCF-A150-E63B19CCA9B5}"/>
  </bookViews>
  <sheets>
    <sheet name="Yearly trends (view)" sheetId="12" r:id="rId1"/>
    <sheet name="Top 10 states by number of fire" sheetId="11" r:id="rId2"/>
    <sheet name="Top 10 states by average fire s" sheetId="10" r:id="rId3"/>
    <sheet name="Top 5 largest fires" sheetId="9" r:id="rId4"/>
    <sheet name="The biggest fire for each year" sheetId="8" r:id="rId5"/>
    <sheet name="Size class" sheetId="7" r:id="rId6"/>
    <sheet name="Overall statistics" sheetId="6" r:id="rId7"/>
    <sheet name="Number of fires by month" sheetId="5" r:id="rId8"/>
    <sheet name="Causes(%)" sheetId="4" r:id="rId9"/>
    <sheet name="Causes (Number and area by reas" sheetId="3" r:id="rId10"/>
    <sheet name="Average fire size by month" sheetId="2" r:id="rId11"/>
    <sheet name="Dashboard" sheetId="13" r:id="rId12"/>
  </sheets>
  <definedNames>
    <definedName name="ExternalData_1" localSheetId="10" hidden="1">'Average fire size by month'!$A$1:$C$13</definedName>
    <definedName name="ExternalData_10" localSheetId="1" hidden="1">'Top 10 states by number of fire'!$A$1:$C$11</definedName>
    <definedName name="ExternalData_11" localSheetId="0" hidden="1">'Yearly trends (view)'!$A$1:$D$25</definedName>
    <definedName name="ExternalData_2" localSheetId="9" hidden="1">'Causes (Number and area by reas'!$A$1:$D$14</definedName>
    <definedName name="ExternalData_3" localSheetId="8" hidden="1">'Causes(%)'!$A$1:$C$14</definedName>
    <definedName name="ExternalData_4" localSheetId="7" hidden="1">'Number of fires by month'!$A$1:$B$13</definedName>
    <definedName name="ExternalData_5" localSheetId="6" hidden="1">'Overall statistics'!$A$1:$B$2</definedName>
    <definedName name="ExternalData_6" localSheetId="5" hidden="1">'Size class'!$A$1:$C$8</definedName>
    <definedName name="ExternalData_7" localSheetId="4" hidden="1">'The biggest fire for each year'!$A$1:$D$25</definedName>
    <definedName name="ExternalData_8" localSheetId="3" hidden="1">'Top 5 largest fires'!$A$1:$E$6</definedName>
    <definedName name="ExternalData_9" localSheetId="2" hidden="1">'Top 10 states by average fire s'!$A$1:$B$11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17" i="12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765BB61-4F7C-4BB2-BEB4-D2106BE8C0D4}" keepAlive="1" name="Query - Average fire size by month" description="Connection to the 'Average fire size by month' query in the workbook." type="5" refreshedVersion="8" background="1" saveData="1">
    <dbPr connection="Provider=Microsoft.Mashup.OleDb.1;Data Source=$Workbook$;Location=&quot;Average fire size by month&quot;;Extended Properties=&quot;&quot;" command="SELECT * FROM [Average fire size by month]"/>
  </connection>
  <connection id="2" xr16:uid="{38359565-68B6-4D30-8D08-19CEC7E1FE95}" keepAlive="1" name="Query - Causes (Number and area by reason )" description="Connection to the 'Causes (Number and area by reason )' query in the workbook." type="5" refreshedVersion="8" background="1" saveData="1">
    <dbPr connection="Provider=Microsoft.Mashup.OleDb.1;Data Source=$Workbook$;Location=&quot;Causes (Number and area by reason )&quot;;Extended Properties=&quot;&quot;" command="SELECT * FROM [Causes (Number and area by reason )]"/>
  </connection>
  <connection id="3" xr16:uid="{48AD0597-01D7-497E-8098-6DA4EA6A43D2}" keepAlive="1" name="Query - Causes(%)" description="Connection to the 'Causes(%)' query in the workbook." type="5" refreshedVersion="8" background="1" saveData="1">
    <dbPr connection="Provider=Microsoft.Mashup.OleDb.1;Data Source=$Workbook$;Location=Causes(%);Extended Properties=&quot;&quot;" command="SELECT * FROM [Causes(%)]"/>
  </connection>
  <connection id="4" xr16:uid="{710851C6-F218-49C6-92E1-5D24F3EB9E99}" keepAlive="1" name="Query - Number of fires by month" description="Connection to the 'Number of fires by month' query in the workbook." type="5" refreshedVersion="8" background="1" saveData="1">
    <dbPr connection="Provider=Microsoft.Mashup.OleDb.1;Data Source=$Workbook$;Location=&quot;Number of fires by month&quot;;Extended Properties=&quot;&quot;" command="SELECT * FROM [Number of fires by month]"/>
  </connection>
  <connection id="5" xr16:uid="{AB02A0ED-7F93-4C83-A699-94ABDA95DE6A}" keepAlive="1" name="Query - Overall statistics" description="Connection to the 'Overall statistics' query in the workbook." type="5" refreshedVersion="8" background="1" saveData="1">
    <dbPr connection="Provider=Microsoft.Mashup.OleDb.1;Data Source=$Workbook$;Location=&quot;Overall statistics&quot;;Extended Properties=&quot;&quot;" command="SELECT * FROM [Overall statistics]"/>
  </connection>
  <connection id="6" xr16:uid="{07E5DD6E-97E8-4014-BBEA-EA0776FEA6A5}" keepAlive="1" name="Query - Size class" description="Connection to the 'Size class' query in the workbook." type="5" refreshedVersion="8" background="1" saveData="1">
    <dbPr connection="Provider=Microsoft.Mashup.OleDb.1;Data Source=$Workbook$;Location=&quot;Size class&quot;;Extended Properties=&quot;&quot;" command="SELECT * FROM [Size class]"/>
  </connection>
  <connection id="7" xr16:uid="{ADBAA157-B514-4B78-A90A-1A341E4CA2CD}" keepAlive="1" name="Query - Table13" description="Connection to the 'Table13' query in the workbook." type="5" refreshedVersion="0" background="1">
    <dbPr connection="Provider=Microsoft.Mashup.OleDb.1;Data Source=$Workbook$;Location=Table13;Extended Properties=&quot;&quot;" command="SELECT * FROM [Table13]"/>
  </connection>
  <connection id="8" xr16:uid="{A91233A0-3E0F-4F90-8E1A-5CD67E280453}" keepAlive="1" name="Query - The biggest fire for each year" description="Connection to the 'The biggest fire for each year' query in the workbook." type="5" refreshedVersion="8" background="1" saveData="1">
    <dbPr connection="Provider=Microsoft.Mashup.OleDb.1;Data Source=$Workbook$;Location=&quot;The biggest fire for each year&quot;;Extended Properties=&quot;&quot;" command="SELECT * FROM [The biggest fire for each year]"/>
  </connection>
  <connection id="9" xr16:uid="{CB18A1FC-913D-48B6-95F1-23618CAD66CE}" keepAlive="1" name="Query - Top 10 states by average fire size" description="Connection to the 'Top 10 states by average fire size' query in the workbook." type="5" refreshedVersion="8" background="1" saveData="1">
    <dbPr connection="Provider=Microsoft.Mashup.OleDb.1;Data Source=$Workbook$;Location=&quot;Top 10 states by average fire size&quot;;Extended Properties=&quot;&quot;" command="SELECT * FROM [Top 10 states by average fire size]"/>
  </connection>
  <connection id="10" xr16:uid="{26D48759-ABDD-472E-9F5B-DF194411D5B3}" keepAlive="1" name="Query - Top 10 states by number of fires" description="Connection to the 'Top 10 states by number of fires' query in the workbook." type="5" refreshedVersion="8" background="1" saveData="1">
    <dbPr connection="Provider=Microsoft.Mashup.OleDb.1;Data Source=$Workbook$;Location=&quot;Top 10 states by number of fires&quot;;Extended Properties=&quot;&quot;" command="SELECT * FROM [Top 10 states by number of fires]"/>
  </connection>
  <connection id="11" xr16:uid="{25DEDFFC-50DD-426E-BC47-1E356C2AA3AD}" keepAlive="1" name="Query - Top 5 largest fires" description="Connection to the 'Top 5 largest fires' query in the workbook." type="5" refreshedVersion="8" background="1" saveData="1">
    <dbPr connection="Provider=Microsoft.Mashup.OleDb.1;Data Source=$Workbook$;Location=&quot;Top 5 largest fires&quot;;Extended Properties=&quot;&quot;" command="SELECT * FROM [Top 5 largest fires]"/>
  </connection>
  <connection id="12" xr16:uid="{A6F96EE2-F83A-46CC-A015-85224AF5FD5E}" keepAlive="1" name="Query - Yearly trends (view)" description="Connection to the 'Yearly trends (view)' query in the workbook." type="5" refreshedVersion="8" background="1" saveData="1">
    <dbPr connection="Provider=Microsoft.Mashup.OleDb.1;Data Source=$Workbook$;Location=&quot;Yearly trends (view)&quot;;Extended Properties=&quot;&quot;" command="SELECT * FROM [Yearly trends (view)]"/>
  </connection>
</connections>
</file>

<file path=xl/sharedStrings.xml><?xml version="1.0" encoding="utf-8"?>
<sst xmlns="http://schemas.openxmlformats.org/spreadsheetml/2006/main" count="131" uniqueCount="83">
  <si>
    <t>month</t>
  </si>
  <si>
    <t>fire_count</t>
  </si>
  <si>
    <t>avg_size</t>
  </si>
  <si>
    <t>cause</t>
  </si>
  <si>
    <t>total_acres</t>
  </si>
  <si>
    <t>Debris Burning</t>
  </si>
  <si>
    <t>Miscellaneous</t>
  </si>
  <si>
    <t>Arson</t>
  </si>
  <si>
    <t>Lightning</t>
  </si>
  <si>
    <t>Missing/Undefined</t>
  </si>
  <si>
    <t>Equipment Use</t>
  </si>
  <si>
    <t>Campfire</t>
  </si>
  <si>
    <t>Children</t>
  </si>
  <si>
    <t>Smoking</t>
  </si>
  <si>
    <t>Railroad</t>
  </si>
  <si>
    <t>Powerline</t>
  </si>
  <si>
    <t>Fireworks</t>
  </si>
  <si>
    <t>Structure</t>
  </si>
  <si>
    <t>STAT_CAUSE_DESCR</t>
  </si>
  <si>
    <t>percentage</t>
  </si>
  <si>
    <t>total_fires</t>
  </si>
  <si>
    <t>total_acres_burned</t>
  </si>
  <si>
    <t>FIRE_SIZE_CLASS</t>
  </si>
  <si>
    <t>fires</t>
  </si>
  <si>
    <t>A</t>
  </si>
  <si>
    <t>B</t>
  </si>
  <si>
    <t>C</t>
  </si>
  <si>
    <t>D</t>
  </si>
  <si>
    <t>E</t>
  </si>
  <si>
    <t>F</t>
  </si>
  <si>
    <t>G</t>
  </si>
  <si>
    <t>FIRE_YEAR</t>
  </si>
  <si>
    <t>FIRE_NAME</t>
  </si>
  <si>
    <t>FIRE_SIZE</t>
  </si>
  <si>
    <t>rn</t>
  </si>
  <si>
    <t>FOOTHILLS</t>
  </si>
  <si>
    <t>332557</t>
  </si>
  <si>
    <t>RABBIT CREEK #1</t>
  </si>
  <si>
    <t>TUANA</t>
  </si>
  <si>
    <t>COX'S WELL</t>
  </si>
  <si>
    <t>INOWAK</t>
  </si>
  <si>
    <t>CIBLO CREEK FIRE</t>
  </si>
  <si>
    <t>KEVINJIK</t>
  </si>
  <si>
    <t>CLEAR CREEK</t>
  </si>
  <si>
    <t>SURVEY LIN</t>
  </si>
  <si>
    <t>BISCUIT</t>
  </si>
  <si>
    <t>CEDAR</t>
  </si>
  <si>
    <t>BOUNDARY</t>
  </si>
  <si>
    <t>HUMBOLDT</t>
  </si>
  <si>
    <t>HWY 152</t>
  </si>
  <si>
    <t>MURPHY COMPLEX</t>
  </si>
  <si>
    <t>GLASS</t>
  </si>
  <si>
    <t>MINTO FLATS SOUTH</t>
  </si>
  <si>
    <t>LONG BUTTE</t>
  </si>
  <si>
    <t>WALLOW</t>
  </si>
  <si>
    <t>LONG DRAW</t>
  </si>
  <si>
    <t>RIM</t>
  </si>
  <si>
    <t>SADDLE DRAW</t>
  </si>
  <si>
    <t>15533 BIG CREEK 2</t>
  </si>
  <si>
    <t>STATE</t>
  </si>
  <si>
    <t>AK</t>
  </si>
  <si>
    <t>OR</t>
  </si>
  <si>
    <t>AZ</t>
  </si>
  <si>
    <t>NV</t>
  </si>
  <si>
    <t>ID</t>
  </si>
  <si>
    <t>NM</t>
  </si>
  <si>
    <t>WY</t>
  </si>
  <si>
    <t>MT</t>
  </si>
  <si>
    <t>WA</t>
  </si>
  <si>
    <t>UT</t>
  </si>
  <si>
    <t>NE</t>
  </si>
  <si>
    <t>CA</t>
  </si>
  <si>
    <t>GA</t>
  </si>
  <si>
    <t>TX</t>
  </si>
  <si>
    <t>NC</t>
  </si>
  <si>
    <t>FL</t>
  </si>
  <si>
    <t>SC</t>
  </si>
  <si>
    <t>NY</t>
  </si>
  <si>
    <t>MS</t>
  </si>
  <si>
    <t>AL</t>
  </si>
  <si>
    <t>Total burned area</t>
  </si>
  <si>
    <t>Average fire size</t>
  </si>
  <si>
    <t>Total_fires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</si>
</sst>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color rgb="FFF9FAFB"/>
      <name val="Consolas"/>
      <family val="3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8" tint="0.39997558519241921"/>
        <bgColor theme="9" tint="0.79998168889431442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1" xfId="0" applyFont="1" applyFill="1" applyBorder="1"/>
    <xf numFmtId="0" fontId="0" fillId="2" borderId="2" xfId="0" applyFont="1" applyFill="1" applyBorder="1"/>
    <xf numFmtId="0" fontId="0" fillId="0" borderId="1" xfId="0" applyFont="1" applyBorder="1"/>
    <xf numFmtId="0" fontId="0" fillId="0" borderId="2" xfId="0" applyFont="1" applyBorder="1"/>
    <xf numFmtId="0" fontId="0" fillId="0" borderId="0" xfId="0" applyNumberFormat="1"/>
    <xf numFmtId="0" fontId="1" fillId="0" borderId="0" xfId="0" applyFont="1"/>
    <xf numFmtId="2" fontId="0" fillId="2" borderId="3" xfId="0" applyNumberFormat="1" applyFont="1" applyFill="1" applyBorder="1"/>
    <xf numFmtId="0" fontId="0" fillId="3" borderId="1" xfId="0" applyFont="1" applyFill="1" applyBorder="1" applyAlignment="1">
      <alignment horizontal="center" vertical="center"/>
    </xf>
    <xf numFmtId="2" fontId="0" fillId="3" borderId="3" xfId="0" applyNumberFormat="1" applyFont="1" applyFill="1" applyBorder="1" applyAlignment="1">
      <alignment horizontal="center" vertical="center"/>
    </xf>
    <xf numFmtId="0" fontId="0" fillId="4" borderId="0" xfId="0" applyFont="1" applyFill="1" applyAlignment="1">
      <alignment horizontal="center" vertical="center"/>
    </xf>
    <xf numFmtId="0" fontId="0" fillId="5" borderId="0" xfId="0" applyFill="1"/>
    <xf numFmtId="0" fontId="0" fillId="5" borderId="0" xfId="0" applyFill="1" applyAlignment="1">
      <alignment wrapText="1"/>
    </xf>
    <xf numFmtId="2" fontId="0" fillId="0" borderId="0" xfId="0" applyNumberFormat="1"/>
    <xf numFmtId="2" fontId="0" fillId="0" borderId="3" xfId="0" applyNumberFormat="1" applyFont="1" applyBorder="1"/>
  </cellXfs>
  <cellStyles count="1">
    <cellStyle name="Normal" xfId="0" builtinId="0"/>
  </cellStyles>
  <dxfs count="10"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'Yearly trends (view)'!$B$1</c:f>
              <c:strCache>
                <c:ptCount val="1"/>
                <c:pt idx="0">
                  <c:v>total_fires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'Yearly trends (view)'!$A$2:$A$25</c:f>
              <c:numCache>
                <c:formatCode>General</c:formatCode>
                <c:ptCount val="24"/>
                <c:pt idx="0">
                  <c:v>1992</c:v>
                </c:pt>
                <c:pt idx="1">
                  <c:v>1993</c:v>
                </c:pt>
                <c:pt idx="2">
                  <c:v>1994</c:v>
                </c:pt>
                <c:pt idx="3">
                  <c:v>1995</c:v>
                </c:pt>
                <c:pt idx="4">
                  <c:v>1996</c:v>
                </c:pt>
                <c:pt idx="5">
                  <c:v>1997</c:v>
                </c:pt>
                <c:pt idx="6">
                  <c:v>1998</c:v>
                </c:pt>
                <c:pt idx="7">
                  <c:v>1999</c:v>
                </c:pt>
                <c:pt idx="8">
                  <c:v>2000</c:v>
                </c:pt>
                <c:pt idx="9">
                  <c:v>2001</c:v>
                </c:pt>
                <c:pt idx="10">
                  <c:v>2002</c:v>
                </c:pt>
                <c:pt idx="11">
                  <c:v>2003</c:v>
                </c:pt>
                <c:pt idx="12">
                  <c:v>2004</c:v>
                </c:pt>
                <c:pt idx="13">
                  <c:v>2005</c:v>
                </c:pt>
                <c:pt idx="14">
                  <c:v>2006</c:v>
                </c:pt>
                <c:pt idx="15">
                  <c:v>2007</c:v>
                </c:pt>
                <c:pt idx="16">
                  <c:v>2008</c:v>
                </c:pt>
                <c:pt idx="17">
                  <c:v>2009</c:v>
                </c:pt>
                <c:pt idx="18">
                  <c:v>2010</c:v>
                </c:pt>
                <c:pt idx="19">
                  <c:v>2011</c:v>
                </c:pt>
                <c:pt idx="20">
                  <c:v>2012</c:v>
                </c:pt>
                <c:pt idx="21">
                  <c:v>2013</c:v>
                </c:pt>
                <c:pt idx="22">
                  <c:v>2014</c:v>
                </c:pt>
                <c:pt idx="23">
                  <c:v>2015</c:v>
                </c:pt>
              </c:numCache>
            </c:numRef>
          </c:cat>
          <c:val>
            <c:numRef>
              <c:f>'Yearly trends (view)'!$B$2:$B$25</c:f>
              <c:numCache>
                <c:formatCode>General</c:formatCode>
                <c:ptCount val="24"/>
                <c:pt idx="0">
                  <c:v>67975</c:v>
                </c:pt>
                <c:pt idx="1">
                  <c:v>61989</c:v>
                </c:pt>
                <c:pt idx="2">
                  <c:v>75955</c:v>
                </c:pt>
                <c:pt idx="3">
                  <c:v>71472</c:v>
                </c:pt>
                <c:pt idx="4">
                  <c:v>75574</c:v>
                </c:pt>
                <c:pt idx="5">
                  <c:v>61450</c:v>
                </c:pt>
                <c:pt idx="6">
                  <c:v>68370</c:v>
                </c:pt>
                <c:pt idx="7">
                  <c:v>89363</c:v>
                </c:pt>
                <c:pt idx="8">
                  <c:v>96416</c:v>
                </c:pt>
                <c:pt idx="9">
                  <c:v>86587</c:v>
                </c:pt>
                <c:pt idx="10">
                  <c:v>75656</c:v>
                </c:pt>
                <c:pt idx="11">
                  <c:v>68261</c:v>
                </c:pt>
                <c:pt idx="12">
                  <c:v>69279</c:v>
                </c:pt>
                <c:pt idx="13">
                  <c:v>88604</c:v>
                </c:pt>
                <c:pt idx="14">
                  <c:v>114004</c:v>
                </c:pt>
                <c:pt idx="15">
                  <c:v>95573</c:v>
                </c:pt>
                <c:pt idx="16">
                  <c:v>85378</c:v>
                </c:pt>
                <c:pt idx="17">
                  <c:v>78325</c:v>
                </c:pt>
                <c:pt idx="18">
                  <c:v>79889</c:v>
                </c:pt>
                <c:pt idx="19">
                  <c:v>90552</c:v>
                </c:pt>
                <c:pt idx="20">
                  <c:v>72769</c:v>
                </c:pt>
                <c:pt idx="21">
                  <c:v>64780</c:v>
                </c:pt>
                <c:pt idx="22">
                  <c:v>67753</c:v>
                </c:pt>
                <c:pt idx="23">
                  <c:v>74491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89-4F98-8FF0-6BA7439C5D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90762895"/>
        <c:axId val="1490760495"/>
      </c:lineChart>
      <c:catAx>
        <c:axId val="1490762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0760495"/>
        <c:crosses val="autoZero"/>
        <c:auto val="1"/>
        <c:lblAlgn val="ctr"/>
        <c:lblOffset val="100"/>
        <c:noMultiLvlLbl val="0"/>
      </c:catAx>
      <c:valAx>
        <c:axId val="1490760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07628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states by fire count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states by number of fire'!$B$1</c:f>
              <c:strCache>
                <c:ptCount val="1"/>
                <c:pt idx="0">
                  <c:v>fire_count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states by number of fire'!$A$2:$A$11</c:f>
              <c:strCache>
                <c:ptCount val="10"/>
                <c:pt idx="0">
                  <c:v>CA</c:v>
                </c:pt>
                <c:pt idx="1">
                  <c:v>GA</c:v>
                </c:pt>
                <c:pt idx="2">
                  <c:v>TX</c:v>
                </c:pt>
                <c:pt idx="3">
                  <c:v>NC</c:v>
                </c:pt>
                <c:pt idx="4">
                  <c:v>FL</c:v>
                </c:pt>
                <c:pt idx="5">
                  <c:v>SC</c:v>
                </c:pt>
                <c:pt idx="6">
                  <c:v>NY</c:v>
                </c:pt>
                <c:pt idx="7">
                  <c:v>MS</c:v>
                </c:pt>
                <c:pt idx="8">
                  <c:v>AZ</c:v>
                </c:pt>
                <c:pt idx="9">
                  <c:v>AL</c:v>
                </c:pt>
              </c:strCache>
            </c:strRef>
          </c:cat>
          <c:val>
            <c:numRef>
              <c:f>'Top 10 states by number of fire'!$B$2:$B$11</c:f>
              <c:numCache>
                <c:formatCode>General</c:formatCode>
                <c:ptCount val="10"/>
                <c:pt idx="0">
                  <c:v>189550</c:v>
                </c:pt>
                <c:pt idx="1">
                  <c:v>168867</c:v>
                </c:pt>
                <c:pt idx="2">
                  <c:v>142021</c:v>
                </c:pt>
                <c:pt idx="3">
                  <c:v>111277</c:v>
                </c:pt>
                <c:pt idx="4">
                  <c:v>90261</c:v>
                </c:pt>
                <c:pt idx="5">
                  <c:v>81315</c:v>
                </c:pt>
                <c:pt idx="6">
                  <c:v>80870</c:v>
                </c:pt>
                <c:pt idx="7">
                  <c:v>79230</c:v>
                </c:pt>
                <c:pt idx="8">
                  <c:v>71586</c:v>
                </c:pt>
                <c:pt idx="9">
                  <c:v>66570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F3-4BEC-9C0C-EDF863EAB1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54278335"/>
        <c:axId val="1654279295"/>
      </c:barChart>
      <c:catAx>
        <c:axId val="16542783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4279295"/>
        <c:crosses val="autoZero"/>
        <c:auto val="1"/>
        <c:lblAlgn val="ctr"/>
        <c:lblOffset val="100"/>
        <c:noMultiLvlLbl val="0"/>
      </c:catAx>
      <c:valAx>
        <c:axId val="16542792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42783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biggest</a:t>
            </a:r>
            <a:r>
              <a:rPr lang="en-US" baseline="0"/>
              <a:t> fire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'Top 5 largest fires'!$D$1</c:f>
              <c:strCache>
                <c:ptCount val="1"/>
                <c:pt idx="0">
                  <c:v>FIRE_SIZE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('Top 5 largest fires'!$A$2:$A$6,'Top 5 largest fires'!$C$2:$C$6)</c:f>
              <c:strCache>
                <c:ptCount val="10"/>
                <c:pt idx="0">
                  <c:v>INOWAK</c:v>
                </c:pt>
                <c:pt idx="1">
                  <c:v>LONG DRAW</c:v>
                </c:pt>
                <c:pt idx="2">
                  <c:v>WALLOW</c:v>
                </c:pt>
                <c:pt idx="3">
                  <c:v>BOUNDARY</c:v>
                </c:pt>
                <c:pt idx="4">
                  <c:v>MINTO FLATS SOUTH</c:v>
                </c:pt>
                <c:pt idx="5">
                  <c:v>1997</c:v>
                </c:pt>
                <c:pt idx="6">
                  <c:v>2012</c:v>
                </c:pt>
                <c:pt idx="7">
                  <c:v>2011</c:v>
                </c:pt>
                <c:pt idx="8">
                  <c:v>2004</c:v>
                </c:pt>
                <c:pt idx="9">
                  <c:v>2009</c:v>
                </c:pt>
              </c:strCache>
            </c:strRef>
          </c:cat>
          <c:val>
            <c:numRef>
              <c:f>'Top 5 largest fires'!$D$2:$D$6</c:f>
              <c:numCache>
                <c:formatCode>General</c:formatCode>
                <c:ptCount val="5"/>
                <c:pt idx="0">
                  <c:v>606945</c:v>
                </c:pt>
                <c:pt idx="1">
                  <c:v>558198.30000000005</c:v>
                </c:pt>
                <c:pt idx="2">
                  <c:v>538049</c:v>
                </c:pt>
                <c:pt idx="3">
                  <c:v>537627</c:v>
                </c:pt>
                <c:pt idx="4">
                  <c:v>517078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3C-4FF3-A7D3-12C8E151E1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78096"/>
        <c:axId val="4073776"/>
      </c:barChart>
      <c:catAx>
        <c:axId val="4078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73776"/>
        <c:crosses val="autoZero"/>
        <c:auto val="0"/>
        <c:lblAlgn val="ctr"/>
        <c:lblOffset val="100"/>
        <c:noMultiLvlLbl val="0"/>
      </c:catAx>
      <c:valAx>
        <c:axId val="407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780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fires for</a:t>
            </a:r>
            <a:r>
              <a:rPr lang="en-US" baseline="0"/>
              <a:t> each year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'Yearly trends (view)'!$B$1</c:f>
              <c:strCache>
                <c:ptCount val="1"/>
                <c:pt idx="0">
                  <c:v>total_fires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'Yearly trends (view)'!$A$2:$A$25</c:f>
              <c:numCache>
                <c:formatCode>General</c:formatCode>
                <c:ptCount val="24"/>
                <c:pt idx="0">
                  <c:v>1992</c:v>
                </c:pt>
                <c:pt idx="1">
                  <c:v>1993</c:v>
                </c:pt>
                <c:pt idx="2">
                  <c:v>1994</c:v>
                </c:pt>
                <c:pt idx="3">
                  <c:v>1995</c:v>
                </c:pt>
                <c:pt idx="4">
                  <c:v>1996</c:v>
                </c:pt>
                <c:pt idx="5">
                  <c:v>1997</c:v>
                </c:pt>
                <c:pt idx="6">
                  <c:v>1998</c:v>
                </c:pt>
                <c:pt idx="7">
                  <c:v>1999</c:v>
                </c:pt>
                <c:pt idx="8">
                  <c:v>2000</c:v>
                </c:pt>
                <c:pt idx="9">
                  <c:v>2001</c:v>
                </c:pt>
                <c:pt idx="10">
                  <c:v>2002</c:v>
                </c:pt>
                <c:pt idx="11">
                  <c:v>2003</c:v>
                </c:pt>
                <c:pt idx="12">
                  <c:v>2004</c:v>
                </c:pt>
                <c:pt idx="13">
                  <c:v>2005</c:v>
                </c:pt>
                <c:pt idx="14">
                  <c:v>2006</c:v>
                </c:pt>
                <c:pt idx="15">
                  <c:v>2007</c:v>
                </c:pt>
                <c:pt idx="16">
                  <c:v>2008</c:v>
                </c:pt>
                <c:pt idx="17">
                  <c:v>2009</c:v>
                </c:pt>
                <c:pt idx="18">
                  <c:v>2010</c:v>
                </c:pt>
                <c:pt idx="19">
                  <c:v>2011</c:v>
                </c:pt>
                <c:pt idx="20">
                  <c:v>2012</c:v>
                </c:pt>
                <c:pt idx="21">
                  <c:v>2013</c:v>
                </c:pt>
                <c:pt idx="22">
                  <c:v>2014</c:v>
                </c:pt>
                <c:pt idx="23">
                  <c:v>2015</c:v>
                </c:pt>
              </c:numCache>
            </c:numRef>
          </c:cat>
          <c:val>
            <c:numRef>
              <c:f>'Yearly trends (view)'!$B$2:$B$25</c:f>
              <c:numCache>
                <c:formatCode>General</c:formatCode>
                <c:ptCount val="24"/>
                <c:pt idx="0">
                  <c:v>67975</c:v>
                </c:pt>
                <c:pt idx="1">
                  <c:v>61989</c:v>
                </c:pt>
                <c:pt idx="2">
                  <c:v>75955</c:v>
                </c:pt>
                <c:pt idx="3">
                  <c:v>71472</c:v>
                </c:pt>
                <c:pt idx="4">
                  <c:v>75574</c:v>
                </c:pt>
                <c:pt idx="5">
                  <c:v>61450</c:v>
                </c:pt>
                <c:pt idx="6">
                  <c:v>68370</c:v>
                </c:pt>
                <c:pt idx="7">
                  <c:v>89363</c:v>
                </c:pt>
                <c:pt idx="8">
                  <c:v>96416</c:v>
                </c:pt>
                <c:pt idx="9">
                  <c:v>86587</c:v>
                </c:pt>
                <c:pt idx="10">
                  <c:v>75656</c:v>
                </c:pt>
                <c:pt idx="11">
                  <c:v>68261</c:v>
                </c:pt>
                <c:pt idx="12">
                  <c:v>69279</c:v>
                </c:pt>
                <c:pt idx="13">
                  <c:v>88604</c:v>
                </c:pt>
                <c:pt idx="14">
                  <c:v>114004</c:v>
                </c:pt>
                <c:pt idx="15">
                  <c:v>95573</c:v>
                </c:pt>
                <c:pt idx="16">
                  <c:v>85378</c:v>
                </c:pt>
                <c:pt idx="17">
                  <c:v>78325</c:v>
                </c:pt>
                <c:pt idx="18">
                  <c:v>79889</c:v>
                </c:pt>
                <c:pt idx="19">
                  <c:v>90552</c:v>
                </c:pt>
                <c:pt idx="20">
                  <c:v>72769</c:v>
                </c:pt>
                <c:pt idx="21">
                  <c:v>64780</c:v>
                </c:pt>
                <c:pt idx="22">
                  <c:v>67753</c:v>
                </c:pt>
                <c:pt idx="23">
                  <c:v>74491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40-46D6-8588-2A8C171DC5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90762895"/>
        <c:axId val="1490760495"/>
      </c:lineChart>
      <c:catAx>
        <c:axId val="1490762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0760495"/>
        <c:crosses val="autoZero"/>
        <c:auto val="1"/>
        <c:lblAlgn val="ctr"/>
        <c:lblOffset val="100"/>
        <c:noMultiLvlLbl val="0"/>
      </c:catAx>
      <c:valAx>
        <c:axId val="1490760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07628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Causes of fires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'Causes(%)'!$B$1</c:f>
              <c:strCache>
                <c:ptCount val="1"/>
                <c:pt idx="0">
                  <c:v>fire_count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'Causes(%)'!$A$2:$A$14</c:f>
              <c:strCache>
                <c:ptCount val="13"/>
                <c:pt idx="0">
                  <c:v>Debris Burning</c:v>
                </c:pt>
                <c:pt idx="1">
                  <c:v>Miscellaneous</c:v>
                </c:pt>
                <c:pt idx="2">
                  <c:v>Arson</c:v>
                </c:pt>
                <c:pt idx="3">
                  <c:v>Lightning</c:v>
                </c:pt>
                <c:pt idx="4">
                  <c:v>Missing/Undefined</c:v>
                </c:pt>
                <c:pt idx="5">
                  <c:v>Equipment Use</c:v>
                </c:pt>
                <c:pt idx="6">
                  <c:v>Campfire</c:v>
                </c:pt>
                <c:pt idx="7">
                  <c:v>Children</c:v>
                </c:pt>
                <c:pt idx="8">
                  <c:v>Smoking</c:v>
                </c:pt>
                <c:pt idx="9">
                  <c:v>Railroad</c:v>
                </c:pt>
                <c:pt idx="10">
                  <c:v>Powerline</c:v>
                </c:pt>
                <c:pt idx="11">
                  <c:v>Fireworks</c:v>
                </c:pt>
                <c:pt idx="12">
                  <c:v>Structure</c:v>
                </c:pt>
              </c:strCache>
            </c:strRef>
          </c:cat>
          <c:val>
            <c:numRef>
              <c:f>'Causes(%)'!$B$2:$B$14</c:f>
              <c:numCache>
                <c:formatCode>General</c:formatCode>
                <c:ptCount val="13"/>
                <c:pt idx="0">
                  <c:v>429028</c:v>
                </c:pt>
                <c:pt idx="1">
                  <c:v>323805</c:v>
                </c:pt>
                <c:pt idx="2">
                  <c:v>281455</c:v>
                </c:pt>
                <c:pt idx="3">
                  <c:v>278468</c:v>
                </c:pt>
                <c:pt idx="4">
                  <c:v>166723</c:v>
                </c:pt>
                <c:pt idx="5">
                  <c:v>147612</c:v>
                </c:pt>
                <c:pt idx="6">
                  <c:v>76139</c:v>
                </c:pt>
                <c:pt idx="7">
                  <c:v>61167</c:v>
                </c:pt>
                <c:pt idx="8">
                  <c:v>52869</c:v>
                </c:pt>
                <c:pt idx="9">
                  <c:v>33455</c:v>
                </c:pt>
                <c:pt idx="10">
                  <c:v>14448</c:v>
                </c:pt>
                <c:pt idx="11">
                  <c:v>11500</c:v>
                </c:pt>
                <c:pt idx="12">
                  <c:v>3796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79-4DB1-B991-CB3E7EB9C4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90777295"/>
        <c:axId val="1490760975"/>
      </c:barChart>
      <c:catAx>
        <c:axId val="14907772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0760975"/>
        <c:crosses val="autoZero"/>
        <c:auto val="1"/>
        <c:lblAlgn val="ctr"/>
        <c:lblOffset val="100"/>
        <c:noMultiLvlLbl val="0"/>
      </c:catAx>
      <c:valAx>
        <c:axId val="1490760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07772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Fire</a:t>
            </a:r>
            <a:r>
              <a:rPr lang="en-US" baseline="0"/>
              <a:t> count per month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'Average fire size by month'!$B$1</c:f>
              <c:strCache>
                <c:ptCount val="1"/>
                <c:pt idx="0">
                  <c:v>fire_count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'Average fire size by month'!$A$2:$A$13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xVal>
          <c:yVal>
            <c:numRef>
              <c:f>'Average fire size by month'!$B$2:$B$13</c:f>
              <c:numCache>
                <c:formatCode>General</c:formatCode>
                <c:ptCount val="12"/>
                <c:pt idx="0">
                  <c:v>96438</c:v>
                </c:pt>
                <c:pt idx="1">
                  <c:v>149142</c:v>
                </c:pt>
                <c:pt idx="2">
                  <c:v>235983</c:v>
                </c:pt>
                <c:pt idx="3">
                  <c:v>236239</c:v>
                </c:pt>
                <c:pt idx="4">
                  <c:v>163898</c:v>
                </c:pt>
                <c:pt idx="5">
                  <c:v>163440</c:v>
                </c:pt>
                <c:pt idx="6">
                  <c:v>237234</c:v>
                </c:pt>
                <c:pt idx="7">
                  <c:v>208578</c:v>
                </c:pt>
                <c:pt idx="8">
                  <c:v>132065</c:v>
                </c:pt>
                <c:pt idx="9">
                  <c:v>104992</c:v>
                </c:pt>
                <c:pt idx="10">
                  <c:v>93637</c:v>
                </c:pt>
                <c:pt idx="11">
                  <c:v>58819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0C1-4D02-910C-E508A2B5C3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4897151"/>
        <c:axId val="1454893311"/>
      </c:scatterChart>
      <c:valAx>
        <c:axId val="14548971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4893311"/>
        <c:crosses val="autoZero"/>
        <c:crossBetween val="midCat"/>
      </c:valAx>
      <c:valAx>
        <c:axId val="1454893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48971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Causes of fires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'Causes(%)'!$B$1</c:f>
              <c:strCache>
                <c:ptCount val="1"/>
                <c:pt idx="0">
                  <c:v>fire_count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'Causes(%)'!$A$2:$A$14</c:f>
              <c:strCache>
                <c:ptCount val="13"/>
                <c:pt idx="0">
                  <c:v>Debris Burning</c:v>
                </c:pt>
                <c:pt idx="1">
                  <c:v>Miscellaneous</c:v>
                </c:pt>
                <c:pt idx="2">
                  <c:v>Arson</c:v>
                </c:pt>
                <c:pt idx="3">
                  <c:v>Lightning</c:v>
                </c:pt>
                <c:pt idx="4">
                  <c:v>Missing/Undefined</c:v>
                </c:pt>
                <c:pt idx="5">
                  <c:v>Equipment Use</c:v>
                </c:pt>
                <c:pt idx="6">
                  <c:v>Campfire</c:v>
                </c:pt>
                <c:pt idx="7">
                  <c:v>Children</c:v>
                </c:pt>
                <c:pt idx="8">
                  <c:v>Smoking</c:v>
                </c:pt>
                <c:pt idx="9">
                  <c:v>Railroad</c:v>
                </c:pt>
                <c:pt idx="10">
                  <c:v>Powerline</c:v>
                </c:pt>
                <c:pt idx="11">
                  <c:v>Fireworks</c:v>
                </c:pt>
                <c:pt idx="12">
                  <c:v>Structure</c:v>
                </c:pt>
              </c:strCache>
            </c:strRef>
          </c:cat>
          <c:val>
            <c:numRef>
              <c:f>'Causes(%)'!$B$2:$B$14</c:f>
              <c:numCache>
                <c:formatCode>General</c:formatCode>
                <c:ptCount val="13"/>
                <c:pt idx="0">
                  <c:v>429028</c:v>
                </c:pt>
                <c:pt idx="1">
                  <c:v>323805</c:v>
                </c:pt>
                <c:pt idx="2">
                  <c:v>281455</c:v>
                </c:pt>
                <c:pt idx="3">
                  <c:v>278468</c:v>
                </c:pt>
                <c:pt idx="4">
                  <c:v>166723</c:v>
                </c:pt>
                <c:pt idx="5">
                  <c:v>147612</c:v>
                </c:pt>
                <c:pt idx="6">
                  <c:v>76139</c:v>
                </c:pt>
                <c:pt idx="7">
                  <c:v>61167</c:v>
                </c:pt>
                <c:pt idx="8">
                  <c:v>52869</c:v>
                </c:pt>
                <c:pt idx="9">
                  <c:v>33455</c:v>
                </c:pt>
                <c:pt idx="10">
                  <c:v>14448</c:v>
                </c:pt>
                <c:pt idx="11">
                  <c:v>11500</c:v>
                </c:pt>
                <c:pt idx="12">
                  <c:v>3796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4B-43F6-A83A-AED37B6A82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90777295"/>
        <c:axId val="1490760975"/>
      </c:barChart>
      <c:catAx>
        <c:axId val="14907772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0760975"/>
        <c:crosses val="autoZero"/>
        <c:auto val="1"/>
        <c:lblAlgn val="ctr"/>
        <c:lblOffset val="100"/>
        <c:noMultiLvlLbl val="0"/>
      </c:catAx>
      <c:valAx>
        <c:axId val="1490760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07772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fires for</a:t>
            </a:r>
            <a:r>
              <a:rPr lang="en-US" baseline="0"/>
              <a:t> each year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603937007874015"/>
          <c:y val="0.17171296296296296"/>
          <c:w val="0.6169619422572179"/>
          <c:h val="0.62308654126567509"/>
        </c:manualLayout>
      </c:layout>
      <c:lineChart>
        <c:grouping val="standard"/>
        <c:varyColors val="0"/>
        <c:ser>
          <c:idx val="0"/>
          <c:order val="0"/>
          <c:tx>
            <c:strRef>
              <c:f>'Yearly trends (view)'!$B$1</c:f>
              <c:strCache>
                <c:ptCount val="1"/>
                <c:pt idx="0">
                  <c:v>total_fires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'Yearly trends (view)'!$A$2:$A$25</c:f>
              <c:numCache>
                <c:formatCode>General</c:formatCode>
                <c:ptCount val="24"/>
                <c:pt idx="0">
                  <c:v>1992</c:v>
                </c:pt>
                <c:pt idx="1">
                  <c:v>1993</c:v>
                </c:pt>
                <c:pt idx="2">
                  <c:v>1994</c:v>
                </c:pt>
                <c:pt idx="3">
                  <c:v>1995</c:v>
                </c:pt>
                <c:pt idx="4">
                  <c:v>1996</c:v>
                </c:pt>
                <c:pt idx="5">
                  <c:v>1997</c:v>
                </c:pt>
                <c:pt idx="6">
                  <c:v>1998</c:v>
                </c:pt>
                <c:pt idx="7">
                  <c:v>1999</c:v>
                </c:pt>
                <c:pt idx="8">
                  <c:v>2000</c:v>
                </c:pt>
                <c:pt idx="9">
                  <c:v>2001</c:v>
                </c:pt>
                <c:pt idx="10">
                  <c:v>2002</c:v>
                </c:pt>
                <c:pt idx="11">
                  <c:v>2003</c:v>
                </c:pt>
                <c:pt idx="12">
                  <c:v>2004</c:v>
                </c:pt>
                <c:pt idx="13">
                  <c:v>2005</c:v>
                </c:pt>
                <c:pt idx="14">
                  <c:v>2006</c:v>
                </c:pt>
                <c:pt idx="15">
                  <c:v>2007</c:v>
                </c:pt>
                <c:pt idx="16">
                  <c:v>2008</c:v>
                </c:pt>
                <c:pt idx="17">
                  <c:v>2009</c:v>
                </c:pt>
                <c:pt idx="18">
                  <c:v>2010</c:v>
                </c:pt>
                <c:pt idx="19">
                  <c:v>2011</c:v>
                </c:pt>
                <c:pt idx="20">
                  <c:v>2012</c:v>
                </c:pt>
                <c:pt idx="21">
                  <c:v>2013</c:v>
                </c:pt>
                <c:pt idx="22">
                  <c:v>2014</c:v>
                </c:pt>
                <c:pt idx="23">
                  <c:v>2015</c:v>
                </c:pt>
              </c:numCache>
            </c:numRef>
          </c:cat>
          <c:val>
            <c:numRef>
              <c:f>'Yearly trends (view)'!$B$2:$B$25</c:f>
              <c:numCache>
                <c:formatCode>General</c:formatCode>
                <c:ptCount val="24"/>
                <c:pt idx="0">
                  <c:v>67975</c:v>
                </c:pt>
                <c:pt idx="1">
                  <c:v>61989</c:v>
                </c:pt>
                <c:pt idx="2">
                  <c:v>75955</c:v>
                </c:pt>
                <c:pt idx="3">
                  <c:v>71472</c:v>
                </c:pt>
                <c:pt idx="4">
                  <c:v>75574</c:v>
                </c:pt>
                <c:pt idx="5">
                  <c:v>61450</c:v>
                </c:pt>
                <c:pt idx="6">
                  <c:v>68370</c:v>
                </c:pt>
                <c:pt idx="7">
                  <c:v>89363</c:v>
                </c:pt>
                <c:pt idx="8">
                  <c:v>96416</c:v>
                </c:pt>
                <c:pt idx="9">
                  <c:v>86587</c:v>
                </c:pt>
                <c:pt idx="10">
                  <c:v>75656</c:v>
                </c:pt>
                <c:pt idx="11">
                  <c:v>68261</c:v>
                </c:pt>
                <c:pt idx="12">
                  <c:v>69279</c:v>
                </c:pt>
                <c:pt idx="13">
                  <c:v>88604</c:v>
                </c:pt>
                <c:pt idx="14">
                  <c:v>114004</c:v>
                </c:pt>
                <c:pt idx="15">
                  <c:v>95573</c:v>
                </c:pt>
                <c:pt idx="16">
                  <c:v>85378</c:v>
                </c:pt>
                <c:pt idx="17">
                  <c:v>78325</c:v>
                </c:pt>
                <c:pt idx="18">
                  <c:v>79889</c:v>
                </c:pt>
                <c:pt idx="19">
                  <c:v>90552</c:v>
                </c:pt>
                <c:pt idx="20">
                  <c:v>72769</c:v>
                </c:pt>
                <c:pt idx="21">
                  <c:v>64780</c:v>
                </c:pt>
                <c:pt idx="22">
                  <c:v>67753</c:v>
                </c:pt>
                <c:pt idx="23">
                  <c:v>74491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A5C-4E5B-B5E0-19CB76799D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90762895"/>
        <c:axId val="1490760495"/>
      </c:lineChart>
      <c:lineChart>
        <c:grouping val="standard"/>
        <c:varyColors val="0"/>
        <c:ser>
          <c:idx val="1"/>
          <c:order val="1"/>
          <c:tx>
            <c:strRef>
              <c:f>'Yearly trends (view)'!$C$1</c:f>
              <c:strCache>
                <c:ptCount val="1"/>
                <c:pt idx="0">
                  <c:v>total_acres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'Yearly trends (view)'!$A$2:$A$25</c:f>
              <c:numCache>
                <c:formatCode>General</c:formatCode>
                <c:ptCount val="24"/>
                <c:pt idx="0">
                  <c:v>1992</c:v>
                </c:pt>
                <c:pt idx="1">
                  <c:v>1993</c:v>
                </c:pt>
                <c:pt idx="2">
                  <c:v>1994</c:v>
                </c:pt>
                <c:pt idx="3">
                  <c:v>1995</c:v>
                </c:pt>
                <c:pt idx="4">
                  <c:v>1996</c:v>
                </c:pt>
                <c:pt idx="5">
                  <c:v>1997</c:v>
                </c:pt>
                <c:pt idx="6">
                  <c:v>1998</c:v>
                </c:pt>
                <c:pt idx="7">
                  <c:v>1999</c:v>
                </c:pt>
                <c:pt idx="8">
                  <c:v>2000</c:v>
                </c:pt>
                <c:pt idx="9">
                  <c:v>2001</c:v>
                </c:pt>
                <c:pt idx="10">
                  <c:v>2002</c:v>
                </c:pt>
                <c:pt idx="11">
                  <c:v>2003</c:v>
                </c:pt>
                <c:pt idx="12">
                  <c:v>2004</c:v>
                </c:pt>
                <c:pt idx="13">
                  <c:v>2005</c:v>
                </c:pt>
                <c:pt idx="14">
                  <c:v>2006</c:v>
                </c:pt>
                <c:pt idx="15">
                  <c:v>2007</c:v>
                </c:pt>
                <c:pt idx="16">
                  <c:v>2008</c:v>
                </c:pt>
                <c:pt idx="17">
                  <c:v>2009</c:v>
                </c:pt>
                <c:pt idx="18">
                  <c:v>2010</c:v>
                </c:pt>
                <c:pt idx="19">
                  <c:v>2011</c:v>
                </c:pt>
                <c:pt idx="20">
                  <c:v>2012</c:v>
                </c:pt>
                <c:pt idx="21">
                  <c:v>2013</c:v>
                </c:pt>
                <c:pt idx="22">
                  <c:v>2014</c:v>
                </c:pt>
                <c:pt idx="23">
                  <c:v>2015</c:v>
                </c:pt>
              </c:numCache>
            </c:numRef>
          </c:cat>
          <c:val>
            <c:numRef>
              <c:f>'Yearly trends (view)'!$C$2:$C$25</c:f>
              <c:numCache>
                <c:formatCode>General</c:formatCode>
                <c:ptCount val="24"/>
                <c:pt idx="0">
                  <c:v>2199958.0010000002</c:v>
                </c:pt>
                <c:pt idx="1">
                  <c:v>2191696.003</c:v>
                </c:pt>
                <c:pt idx="2">
                  <c:v>4116675.5290000001</c:v>
                </c:pt>
                <c:pt idx="3">
                  <c:v>2049585.058</c:v>
                </c:pt>
                <c:pt idx="4">
                  <c:v>6005155.7089999998</c:v>
                </c:pt>
                <c:pt idx="5">
                  <c:v>3214635.31</c:v>
                </c:pt>
                <c:pt idx="6">
                  <c:v>2011102.40001</c:v>
                </c:pt>
                <c:pt idx="7">
                  <c:v>6080199.7152899997</c:v>
                </c:pt>
                <c:pt idx="8">
                  <c:v>7639498.6440000003</c:v>
                </c:pt>
                <c:pt idx="9">
                  <c:v>3724072.304</c:v>
                </c:pt>
                <c:pt idx="10">
                  <c:v>6803258.3977589998</c:v>
                </c:pt>
                <c:pt idx="11">
                  <c:v>4483572.9457599996</c:v>
                </c:pt>
                <c:pt idx="12">
                  <c:v>8234208.1741399998</c:v>
                </c:pt>
                <c:pt idx="13">
                  <c:v>9665105.1280199997</c:v>
                </c:pt>
                <c:pt idx="14">
                  <c:v>10043497.91155</c:v>
                </c:pt>
                <c:pt idx="15">
                  <c:v>9265428.7281500008</c:v>
                </c:pt>
                <c:pt idx="16">
                  <c:v>5406532.1066800002</c:v>
                </c:pt>
                <c:pt idx="17">
                  <c:v>6057166.106714</c:v>
                </c:pt>
                <c:pt idx="18">
                  <c:v>3493455.21569</c:v>
                </c:pt>
                <c:pt idx="19">
                  <c:v>9623597.2874999996</c:v>
                </c:pt>
                <c:pt idx="20">
                  <c:v>9439888.4519999996</c:v>
                </c:pt>
                <c:pt idx="21">
                  <c:v>4492502.4149099998</c:v>
                </c:pt>
                <c:pt idx="22">
                  <c:v>3673490.3927119998</c:v>
                </c:pt>
                <c:pt idx="23">
                  <c:v>10218267.617799999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A5C-4E5B-B5E0-19CB76799D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72640"/>
        <c:axId val="4776000"/>
      </c:lineChart>
      <c:catAx>
        <c:axId val="1490762895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0760495"/>
        <c:crosses val="autoZero"/>
        <c:auto val="1"/>
        <c:lblAlgn val="ctr"/>
        <c:lblOffset val="100"/>
        <c:noMultiLvlLbl val="0"/>
      </c:catAx>
      <c:valAx>
        <c:axId val="1490760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0762895"/>
        <c:crosses val="autoZero"/>
        <c:crossBetween val="between"/>
      </c:valAx>
      <c:valAx>
        <c:axId val="4776000"/>
        <c:scaling>
          <c:orientation val="minMax"/>
        </c:scaling>
        <c:delete val="0"/>
        <c:axPos val="r"/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72640"/>
        <c:crosses val="max"/>
        <c:crossBetween val="between"/>
      </c:valAx>
      <c:catAx>
        <c:axId val="477264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77600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8604068241469816"/>
          <c:y val="0.81097149314669004"/>
          <c:w val="0.19451487314085739"/>
          <c:h val="0.156251093613298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states by fire count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states by number of fire'!$B$1</c:f>
              <c:strCache>
                <c:ptCount val="1"/>
                <c:pt idx="0">
                  <c:v>fire_count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'Top 10 states by number of fire'!$A$2:$A$11</c:f>
              <c:strCache>
                <c:ptCount val="10"/>
                <c:pt idx="0">
                  <c:v>CA</c:v>
                </c:pt>
                <c:pt idx="1">
                  <c:v>GA</c:v>
                </c:pt>
                <c:pt idx="2">
                  <c:v>TX</c:v>
                </c:pt>
                <c:pt idx="3">
                  <c:v>NC</c:v>
                </c:pt>
                <c:pt idx="4">
                  <c:v>FL</c:v>
                </c:pt>
                <c:pt idx="5">
                  <c:v>SC</c:v>
                </c:pt>
                <c:pt idx="6">
                  <c:v>NY</c:v>
                </c:pt>
                <c:pt idx="7">
                  <c:v>MS</c:v>
                </c:pt>
                <c:pt idx="8">
                  <c:v>AZ</c:v>
                </c:pt>
                <c:pt idx="9">
                  <c:v>AL</c:v>
                </c:pt>
              </c:strCache>
            </c:strRef>
          </c:cat>
          <c:val>
            <c:numRef>
              <c:f>'Top 10 states by number of fire'!$B$2:$B$11</c:f>
              <c:numCache>
                <c:formatCode>General</c:formatCode>
                <c:ptCount val="10"/>
                <c:pt idx="0">
                  <c:v>189550</c:v>
                </c:pt>
                <c:pt idx="1">
                  <c:v>168867</c:v>
                </c:pt>
                <c:pt idx="2">
                  <c:v>142021</c:v>
                </c:pt>
                <c:pt idx="3">
                  <c:v>111277</c:v>
                </c:pt>
                <c:pt idx="4">
                  <c:v>90261</c:v>
                </c:pt>
                <c:pt idx="5">
                  <c:v>81315</c:v>
                </c:pt>
                <c:pt idx="6">
                  <c:v>80870</c:v>
                </c:pt>
                <c:pt idx="7">
                  <c:v>79230</c:v>
                </c:pt>
                <c:pt idx="8">
                  <c:v>71586</c:v>
                </c:pt>
                <c:pt idx="9">
                  <c:v>66570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75-477C-B715-05F17D69AE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54278335"/>
        <c:axId val="1654279295"/>
      </c:barChart>
      <c:catAx>
        <c:axId val="16542783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4279295"/>
        <c:crosses val="autoZero"/>
        <c:auto val="1"/>
        <c:lblAlgn val="ctr"/>
        <c:lblOffset val="100"/>
        <c:noMultiLvlLbl val="0"/>
      </c:catAx>
      <c:valAx>
        <c:axId val="16542792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42783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Fire</a:t>
            </a:r>
            <a:r>
              <a:rPr lang="en-US" baseline="0"/>
              <a:t> count per month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'Average fire size by month'!$B$1</c:f>
              <c:strCache>
                <c:ptCount val="1"/>
                <c:pt idx="0">
                  <c:v>fire_count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'Average fire size by month'!$A$2:$A$13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xVal>
          <c:yVal>
            <c:numRef>
              <c:f>'Average fire size by month'!$B$2:$B$13</c:f>
              <c:numCache>
                <c:formatCode>General</c:formatCode>
                <c:ptCount val="12"/>
                <c:pt idx="0">
                  <c:v>96438</c:v>
                </c:pt>
                <c:pt idx="1">
                  <c:v>149142</c:v>
                </c:pt>
                <c:pt idx="2">
                  <c:v>235983</c:v>
                </c:pt>
                <c:pt idx="3">
                  <c:v>236239</c:v>
                </c:pt>
                <c:pt idx="4">
                  <c:v>163898</c:v>
                </c:pt>
                <c:pt idx="5">
                  <c:v>163440</c:v>
                </c:pt>
                <c:pt idx="6">
                  <c:v>237234</c:v>
                </c:pt>
                <c:pt idx="7">
                  <c:v>208578</c:v>
                </c:pt>
                <c:pt idx="8">
                  <c:v>132065</c:v>
                </c:pt>
                <c:pt idx="9">
                  <c:v>104992</c:v>
                </c:pt>
                <c:pt idx="10">
                  <c:v>93637</c:v>
                </c:pt>
                <c:pt idx="11">
                  <c:v>58819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13D-414F-8840-7872792ADF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4897151"/>
        <c:axId val="1454893311"/>
      </c:scatterChart>
      <c:valAx>
        <c:axId val="14548971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4893311"/>
        <c:crosses val="autoZero"/>
        <c:crossBetween val="midCat"/>
      </c:valAx>
      <c:valAx>
        <c:axId val="1454893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48971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biggest</a:t>
            </a:r>
            <a:r>
              <a:rPr lang="en-US" baseline="0"/>
              <a:t> fire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'Top 5 largest fires'!$D$1</c:f>
              <c:strCache>
                <c:ptCount val="1"/>
                <c:pt idx="0">
                  <c:v>FIRE_SIZE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('Top 5 largest fires'!$A$2:$A$6,'Top 5 largest fires'!$C$2:$C$6)</c:f>
              <c:strCache>
                <c:ptCount val="10"/>
                <c:pt idx="0">
                  <c:v>INOWAK</c:v>
                </c:pt>
                <c:pt idx="1">
                  <c:v>LONG DRAW</c:v>
                </c:pt>
                <c:pt idx="2">
                  <c:v>WALLOW</c:v>
                </c:pt>
                <c:pt idx="3">
                  <c:v>BOUNDARY</c:v>
                </c:pt>
                <c:pt idx="4">
                  <c:v>MINTO FLATS SOUTH</c:v>
                </c:pt>
                <c:pt idx="5">
                  <c:v>1997</c:v>
                </c:pt>
                <c:pt idx="6">
                  <c:v>2012</c:v>
                </c:pt>
                <c:pt idx="7">
                  <c:v>2011</c:v>
                </c:pt>
                <c:pt idx="8">
                  <c:v>2004</c:v>
                </c:pt>
                <c:pt idx="9">
                  <c:v>2009</c:v>
                </c:pt>
              </c:strCache>
            </c:strRef>
          </c:cat>
          <c:val>
            <c:numRef>
              <c:f>'Top 5 largest fires'!$D$2:$D$6</c:f>
              <c:numCache>
                <c:formatCode>General</c:formatCode>
                <c:ptCount val="5"/>
                <c:pt idx="0">
                  <c:v>606945</c:v>
                </c:pt>
                <c:pt idx="1">
                  <c:v>558198.30000000005</c:v>
                </c:pt>
                <c:pt idx="2">
                  <c:v>538049</c:v>
                </c:pt>
                <c:pt idx="3">
                  <c:v>537627</c:v>
                </c:pt>
                <c:pt idx="4">
                  <c:v>517078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4C-42F6-9FCE-0C5272413C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78096"/>
        <c:axId val="4073776"/>
      </c:barChart>
      <c:catAx>
        <c:axId val="4078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73776"/>
        <c:crosses val="autoZero"/>
        <c:auto val="0"/>
        <c:lblAlgn val="ctr"/>
        <c:lblOffset val="100"/>
        <c:noMultiLvlLbl val="0"/>
      </c:catAx>
      <c:valAx>
        <c:axId val="407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780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365760</xdr:colOff>
      <xdr:row>8</xdr:row>
      <xdr:rowOff>83820</xdr:rowOff>
    </xdr:from>
    <xdr:to>
      <xdr:col>14</xdr:col>
      <xdr:colOff>60960</xdr:colOff>
      <xdr:row>23</xdr:row>
      <xdr:rowOff>83820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B69637B-6875-5AAA-C4F9-C71EBFA1FD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571500</xdr:colOff>
      <xdr:row>8</xdr:row>
      <xdr:rowOff>167640</xdr:rowOff>
    </xdr:from>
    <xdr:to>
      <xdr:col>8</xdr:col>
      <xdr:colOff>457200</xdr:colOff>
      <xdr:row>23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FC37CA-C33C-065A-8E5A-54E1AD3063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1135380</xdr:colOff>
      <xdr:row>8</xdr:row>
      <xdr:rowOff>167640</xdr:rowOff>
    </xdr:from>
    <xdr:to>
      <xdr:col>6</xdr:col>
      <xdr:colOff>312420</xdr:colOff>
      <xdr:row>23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54F77E6-02F9-53AA-86EB-B02A7FA4D0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4</xdr:row>
      <xdr:rowOff>0</xdr:rowOff>
    </xdr:from>
    <xdr:to>
      <xdr:col>13</xdr:col>
      <xdr:colOff>304800</xdr:colOff>
      <xdr:row>19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A60E08E-15A7-4F33-BADF-4261C7CB41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403860</xdr:colOff>
      <xdr:row>8</xdr:row>
      <xdr:rowOff>175260</xdr:rowOff>
    </xdr:from>
    <xdr:to>
      <xdr:col>11</xdr:col>
      <xdr:colOff>99060</xdr:colOff>
      <xdr:row>23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05ADE2C-C461-73F1-12D3-8C5893EE5C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</xdr:colOff>
      <xdr:row>8</xdr:row>
      <xdr:rowOff>167640</xdr:rowOff>
    </xdr:from>
    <xdr:to>
      <xdr:col>6</xdr:col>
      <xdr:colOff>434346</xdr:colOff>
      <xdr:row>23</xdr:row>
      <xdr:rowOff>167640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7D33001-F089-F49D-859A-7EFC69461F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487680</xdr:colOff>
      <xdr:row>4</xdr:row>
      <xdr:rowOff>22860</xdr:rowOff>
    </xdr:from>
    <xdr:to>
      <xdr:col>19</xdr:col>
      <xdr:colOff>182880</xdr:colOff>
      <xdr:row>19</xdr:row>
      <xdr:rowOff>22860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4BBBFDF-F7C4-486C-9C1B-657945F50E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129540</xdr:colOff>
      <xdr:row>3</xdr:row>
      <xdr:rowOff>358140</xdr:rowOff>
    </xdr:from>
    <xdr:to>
      <xdr:col>11</xdr:col>
      <xdr:colOff>335280</xdr:colOff>
      <xdr:row>18</xdr:row>
      <xdr:rowOff>175260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6DD5F98-8102-4110-BA3B-B78FFBEA12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20</xdr:row>
      <xdr:rowOff>83820</xdr:rowOff>
    </xdr:from>
    <xdr:to>
      <xdr:col>11</xdr:col>
      <xdr:colOff>205740</xdr:colOff>
      <xdr:row>35</xdr:row>
      <xdr:rowOff>83820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79E3F78-0C94-4C6F-8E01-82F880B998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0</xdr:colOff>
      <xdr:row>21</xdr:row>
      <xdr:rowOff>0</xdr:rowOff>
    </xdr:from>
    <xdr:to>
      <xdr:col>19</xdr:col>
      <xdr:colOff>304800</xdr:colOff>
      <xdr:row>36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72F7D0C-A465-457A-ABB3-F7FE86AA00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0</xdr:colOff>
      <xdr:row>40</xdr:row>
      <xdr:rowOff>0</xdr:rowOff>
    </xdr:from>
    <xdr:to>
      <xdr:col>16</xdr:col>
      <xdr:colOff>304800</xdr:colOff>
      <xdr:row>55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57B2099-0016-49A9-A6D1-11A978242F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1" connectionId="12" xr16:uid="{2A3419E1-B2AE-4782-B394-ED1F5EB20705}" autoFormatId="16" applyNumberFormats="0" applyBorderFormats="0" applyFontFormats="0" applyPatternFormats="0" applyAlignmentFormats="0" applyWidthHeightFormats="0">
  <queryTableRefresh nextId="5">
    <queryTableFields count="4">
      <queryTableField id="1" name="FIRE_YEAR" tableColumnId="1"/>
      <queryTableField id="2" name="total_fires" tableColumnId="2"/>
      <queryTableField id="3" name="total_acres" tableColumnId="3"/>
      <queryTableField id="4" name="avg_size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0" connectionId="10" xr16:uid="{F27F2C64-9DFC-4C25-87B8-BB6D5951156B}" autoFormatId="16" applyNumberFormats="0" applyBorderFormats="0" applyFontFormats="0" applyPatternFormats="0" applyAlignmentFormats="0" applyWidthHeightFormats="0">
  <queryTableRefresh nextId="4">
    <queryTableFields count="3">
      <queryTableField id="1" name="STATE" tableColumnId="1"/>
      <queryTableField id="2" name="fire_count" tableColumnId="2"/>
      <queryTableField id="3" name="total_acres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9" xr16:uid="{47E4E296-19BD-4708-8599-95599EB9BC44}" autoFormatId="16" applyNumberFormats="0" applyBorderFormats="0" applyFontFormats="0" applyPatternFormats="0" applyAlignmentFormats="0" applyWidthHeightFormats="0">
  <queryTableRefresh nextId="3">
    <queryTableFields count="2">
      <queryTableField id="1" name="STATE" tableColumnId="1"/>
      <queryTableField id="2" name="avg_size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11" xr16:uid="{BBF8C409-19C7-467C-903E-CD1109587ED2}" autoFormatId="16" applyNumberFormats="0" applyBorderFormats="0" applyFontFormats="0" applyPatternFormats="0" applyAlignmentFormats="0" applyWidthHeightFormats="0">
  <queryTableRefresh nextId="6">
    <queryTableFields count="5">
      <queryTableField id="1" name="FIRE_NAME" tableColumnId="1"/>
      <queryTableField id="2" name="STATE" tableColumnId="2"/>
      <queryTableField id="3" name="FIRE_YEAR" tableColumnId="3"/>
      <queryTableField id="4" name="FIRE_SIZE" tableColumnId="4"/>
      <queryTableField id="5" name="STAT_CAUSE_DESCR" tableColumnId="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8" xr16:uid="{C55776C1-5700-47E2-B287-443C254B7EEF}" autoFormatId="16" applyNumberFormats="0" applyBorderFormats="0" applyFontFormats="0" applyPatternFormats="0" applyAlignmentFormats="0" applyWidthHeightFormats="0">
  <queryTableRefresh nextId="5">
    <queryTableFields count="4">
      <queryTableField id="1" name="FIRE_YEAR" tableColumnId="1"/>
      <queryTableField id="2" name="FIRE_NAME" tableColumnId="2"/>
      <queryTableField id="3" name="FIRE_SIZE" tableColumnId="3"/>
      <queryTableField id="4" name="rn" tableColumnId="4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6" xr16:uid="{C9D428BD-397F-43B7-9FEA-95D74381F5CD}" autoFormatId="16" applyNumberFormats="0" applyBorderFormats="0" applyFontFormats="0" applyPatternFormats="0" applyAlignmentFormats="0" applyWidthHeightFormats="0">
  <queryTableRefresh nextId="4">
    <queryTableFields count="3">
      <queryTableField id="1" name="FIRE_SIZE_CLASS" tableColumnId="1"/>
      <queryTableField id="2" name="fires" tableColumnId="2"/>
      <queryTableField id="3" name="total_acres" tableColumnId="3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5" xr16:uid="{7ADCD779-6FDD-4DCF-BE94-95B8C323B9BB}" autoFormatId="16" applyNumberFormats="0" applyBorderFormats="0" applyFontFormats="0" applyPatternFormats="0" applyAlignmentFormats="0" applyWidthHeightFormats="0">
  <queryTableRefresh nextId="3">
    <queryTableFields count="2">
      <queryTableField id="1" name="total_fires" tableColumnId="1"/>
      <queryTableField id="2" name="total_acres_burned" tableColumnId="2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2C124BA5-9ACE-497C-A2D3-B0CB843D3886}" autoFormatId="16" applyNumberFormats="0" applyBorderFormats="0" applyFontFormats="0" applyPatternFormats="0" applyAlignmentFormats="0" applyWidthHeightFormats="0">
  <queryTableRefresh nextId="3">
    <queryTableFields count="2">
      <queryTableField id="1" name="month" tableColumnId="1"/>
      <queryTableField id="2" name="fire_count" tableColumnId="2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36B4F361-A330-4B57-8459-03BC20B9F6B5}" autoFormatId="16" applyNumberFormats="0" applyBorderFormats="0" applyFontFormats="0" applyPatternFormats="0" applyAlignmentFormats="0" applyWidthHeightFormats="0">
  <queryTableRefresh nextId="4">
    <queryTableFields count="3">
      <queryTableField id="1" name="STAT_CAUSE_DESCR" tableColumnId="1"/>
      <queryTableField id="2" name="fire_count" tableColumnId="2"/>
      <queryTableField id="3" name="percentage" tableColumnId="3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B9A0F423-E046-4D31-8912-2B28FE71E4B6}" autoFormatId="16" applyNumberFormats="0" applyBorderFormats="0" applyFontFormats="0" applyPatternFormats="0" applyAlignmentFormats="0" applyWidthHeightFormats="0">
  <queryTableRefresh nextId="5">
    <queryTableFields count="4">
      <queryTableField id="1" name="cause" tableColumnId="1"/>
      <queryTableField id="2" name="fire_count" tableColumnId="2"/>
      <queryTableField id="3" name="total_acres" tableColumnId="3"/>
      <queryTableField id="4" name="avg_size" tableColumnId="4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7CA0CF9-41A5-484A-921C-BAF479E0831C}" autoFormatId="16" applyNumberFormats="0" applyBorderFormats="0" applyFontFormats="0" applyPatternFormats="0" applyAlignmentFormats="0" applyWidthHeightFormats="0">
  <queryTableRefresh nextId="4">
    <queryTableFields count="3">
      <queryTableField id="1" name="month" tableColumnId="1"/>
      <queryTableField id="2" name="fire_count" tableColumnId="2"/>
      <queryTableField id="3" name="avg_size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3510C884-C3D8-4A41-BED2-0FE58DADBCB7}" name="Yearly_trends__view" displayName="Yearly_trends__view" ref="A1:D25" tableType="queryTable" totalsRowShown="0">
  <autoFilter ref="A1:D25" xr:uid="{3510C884-C3D8-4A41-BED2-0FE58DADBCB7}"/>
  <tableColumns count="4">
    <tableColumn id="1" xr3:uid="{095DA40B-6207-4B21-9355-8B2B97CC049D}" uniqueName="1" name="FIRE_YEAR" queryTableFieldId="1"/>
    <tableColumn id="2" xr3:uid="{9E967049-E824-4770-BB89-7B58D14870D6}" uniqueName="2" name="total_fires" queryTableFieldId="2"/>
    <tableColumn id="3" xr3:uid="{202A73CF-BB56-4670-BBEC-7A6CD0BC5260}" uniqueName="3" name="total_acres" queryTableFieldId="3"/>
    <tableColumn id="4" xr3:uid="{78E55CCE-AF59-4626-AA10-4C932E8025B8}" uniqueName="4" name="avg_size" queryTableField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193DC9B1-E395-4ED5-876C-49A8F4139D6E}" name="Top_10_states_by_number_of_fires" displayName="Top_10_states_by_number_of_fires" ref="A1:C11" tableType="queryTable" totalsRowShown="0">
  <autoFilter ref="A1:C11" xr:uid="{193DC9B1-E395-4ED5-876C-49A8F4139D6E}"/>
  <tableColumns count="3">
    <tableColumn id="1" xr3:uid="{480C428F-5E9B-4051-A41F-140D521E285A}" uniqueName="1" name="STATE" queryTableFieldId="1" dataDxfId="1"/>
    <tableColumn id="2" xr3:uid="{94808383-62D9-40C2-9387-DC56479DD11B}" uniqueName="2" name="fire_count" queryTableFieldId="2"/>
    <tableColumn id="3" xr3:uid="{A9E22BFC-6DA7-4323-94A9-68E8444F7F4F}" uniqueName="3" name="total_acres" queryTableFieldId="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F3C2AF84-2C45-4A8B-8F05-8A94E79CC7F1}" name="Top_10_states_by_average_fire_size" displayName="Top_10_states_by_average_fire_size" ref="A1:B11" tableType="queryTable" totalsRowShown="0">
  <autoFilter ref="A1:B11" xr:uid="{F3C2AF84-2C45-4A8B-8F05-8A94E79CC7F1}"/>
  <tableColumns count="2">
    <tableColumn id="1" xr3:uid="{4A7DB36B-633C-4DA5-B7A2-F2E97548BE55}" uniqueName="1" name="STATE" queryTableFieldId="1" dataDxfId="2"/>
    <tableColumn id="2" xr3:uid="{B5814167-C7A9-48E3-A215-E3D9F824DBC3}" uniqueName="2" name="avg_size" queryTableFieldId="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415B0AD-707A-4CFE-A611-2B169D01F1B5}" name="Top_5_largest_fires" displayName="Top_5_largest_fires" ref="A1:E6" tableType="queryTable" totalsRowShown="0">
  <autoFilter ref="A1:E6" xr:uid="{6415B0AD-707A-4CFE-A611-2B169D01F1B5}"/>
  <tableColumns count="5">
    <tableColumn id="1" xr3:uid="{AD93EDB0-F428-460E-8CF3-1E3DFA7FBCEE}" uniqueName="1" name="FIRE_NAME" queryTableFieldId="1" dataDxfId="5"/>
    <tableColumn id="2" xr3:uid="{D1DB629B-909C-4CC5-93EA-AED6C2E180F8}" uniqueName="2" name="STATE" queryTableFieldId="2" dataDxfId="4"/>
    <tableColumn id="3" xr3:uid="{6B59F263-D24D-46C5-8F33-DF2C68EC1FE6}" uniqueName="3" name="FIRE_YEAR" queryTableFieldId="3"/>
    <tableColumn id="4" xr3:uid="{A67500F4-B5E2-46A6-8DC0-E8A5F2681F4F}" uniqueName="4" name="FIRE_SIZE" queryTableFieldId="4"/>
    <tableColumn id="5" xr3:uid="{CC283DC4-5E50-4622-A910-5D1A2A4A994C}" uniqueName="5" name="STAT_CAUSE_DESCR" queryTableFieldId="5" dataDxfId="3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FC59522-E9AB-4D56-808B-A36A38063AD5}" name="The_biggest_fire_for_each_year" displayName="The_biggest_fire_for_each_year" ref="A1:D25" tableType="queryTable" totalsRowShown="0">
  <autoFilter ref="A1:D25" xr:uid="{DFC59522-E9AB-4D56-808B-A36A38063AD5}"/>
  <tableColumns count="4">
    <tableColumn id="1" xr3:uid="{AC9734B0-63A5-450C-8441-BD024E681F7D}" uniqueName="1" name="FIRE_YEAR" queryTableFieldId="1"/>
    <tableColumn id="2" xr3:uid="{D9BE3EB3-D1EA-4067-9EB7-F32FCEDB1A3A}" uniqueName="2" name="FIRE_NAME" queryTableFieldId="2" dataDxfId="6"/>
    <tableColumn id="3" xr3:uid="{37203029-C6A6-4464-9AF1-117C911835DA}" uniqueName="3" name="FIRE_SIZE" queryTableFieldId="3"/>
    <tableColumn id="4" xr3:uid="{91636C70-60AF-4DFF-A5C8-1B7E35856A80}" uniqueName="4" name="rn" queryTableFieldId="4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DA3ED9B-DD26-4FFC-9D0A-A22E108FC00E}" name="Size_class" displayName="Size_class" ref="A1:C8" tableType="queryTable" totalsRowShown="0">
  <autoFilter ref="A1:C8" xr:uid="{4DA3ED9B-DD26-4FFC-9D0A-A22E108FC00E}"/>
  <tableColumns count="3">
    <tableColumn id="1" xr3:uid="{103E49B7-7064-4249-9804-8BE77A8FBEC0}" uniqueName="1" name="FIRE_SIZE_CLASS" queryTableFieldId="1" dataDxfId="7"/>
    <tableColumn id="2" xr3:uid="{5CC46CD0-5392-48BF-BF19-510E7F82F129}" uniqueName="2" name="fires" queryTableFieldId="2"/>
    <tableColumn id="3" xr3:uid="{565FE6EE-2127-4305-B633-42E3E545AF8B}" uniqueName="3" name="total_acres" queryTableFieldId="3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DC71FAA-AB56-46E4-A8F0-923BF5B62DDA}" name="Overall_statistics" displayName="Overall_statistics" ref="A1:B2" tableType="queryTable" totalsRowShown="0">
  <autoFilter ref="A1:B2" xr:uid="{3DC71FAA-AB56-46E4-A8F0-923BF5B62DDA}"/>
  <tableColumns count="2">
    <tableColumn id="1" xr3:uid="{67C7A855-2228-4174-A8D8-CD37635FA066}" uniqueName="1" name="total_fires" queryTableFieldId="1"/>
    <tableColumn id="2" xr3:uid="{B568DD8A-7D45-4BA7-BB91-1340CF349766}" uniqueName="2" name="total_acres_burned" queryTableFieldId="2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E51386F-5139-43F9-B4FC-0CA282428A59}" name="Number_of_fires_by_month" displayName="Number_of_fires_by_month" ref="A1:B13" tableType="queryTable" totalsRowShown="0">
  <autoFilter ref="A1:B13" xr:uid="{DE51386F-5139-43F9-B4FC-0CA282428A59}"/>
  <tableColumns count="2">
    <tableColumn id="1" xr3:uid="{C4BF7F9F-6678-4305-B09F-E6DBC7BDA224}" uniqueName="1" name="month" queryTableFieldId="1"/>
    <tableColumn id="2" xr3:uid="{51D4A38A-7ADD-49D2-99E2-E4DE06723C95}" uniqueName="2" name="fire_count" queryTableFieldId="2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F8EBE9F-5A52-44AA-80DC-1529B8807372}" name="Causes" displayName="Causes" ref="A1:C14" tableType="queryTable" totalsRowShown="0">
  <autoFilter ref="A1:C14" xr:uid="{BF8EBE9F-5A52-44AA-80DC-1529B8807372}"/>
  <tableColumns count="3">
    <tableColumn id="1" xr3:uid="{48CEF44E-5C24-439A-8F93-6F91F8D948E7}" uniqueName="1" name="STAT_CAUSE_DESCR" queryTableFieldId="1" dataDxfId="8"/>
    <tableColumn id="2" xr3:uid="{15F0DE81-D912-4417-A27D-043AA96F0DAA}" uniqueName="2" name="fire_count" queryTableFieldId="2"/>
    <tableColumn id="3" xr3:uid="{13E8C0D4-838B-4B74-8BD9-DFDFDC2E278E}" uniqueName="3" name="percentage" queryTableFieldId="3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6E3EF55-B68B-43FD-8E20-E363D815FA6F}" name="Causes__Number_and_area_by_reason" displayName="Causes__Number_and_area_by_reason" ref="A1:D14" tableType="queryTable" totalsRowShown="0">
  <autoFilter ref="A1:D14" xr:uid="{B6E3EF55-B68B-43FD-8E20-E363D815FA6F}"/>
  <tableColumns count="4">
    <tableColumn id="1" xr3:uid="{4DA35A56-5311-431E-BC29-6E99CE93A3DB}" uniqueName="1" name="cause" queryTableFieldId="1" dataDxfId="9"/>
    <tableColumn id="2" xr3:uid="{6CA70EA1-12D0-4AF1-A4F3-547F0A675599}" uniqueName="2" name="fire_count" queryTableFieldId="2"/>
    <tableColumn id="3" xr3:uid="{BDB1629D-9CF6-49E0-ADE6-3C0F86F73117}" uniqueName="3" name="total_acres" queryTableFieldId="3"/>
    <tableColumn id="4" xr3:uid="{F09C5468-20FE-4890-BF91-6BF1E4C161D1}" uniqueName="4" name="avg_size" queryTableFieldId="4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2A8AFD0-3C56-49BE-B1E5-884E67A4985B}" name="Average_fire_size_by_month" displayName="Average_fire_size_by_month" ref="A1:C13" tableType="queryTable" totalsRowShown="0">
  <autoFilter ref="A1:C13" xr:uid="{B2A8AFD0-3C56-49BE-B1E5-884E67A4985B}"/>
  <tableColumns count="3">
    <tableColumn id="1" xr3:uid="{A43F0435-C66D-47E5-A02E-0DA33F1E2AA5}" uniqueName="1" name="month" queryTableFieldId="1"/>
    <tableColumn id="2" xr3:uid="{B93026AD-4757-4346-95B5-0ECFFCBE527A}" uniqueName="2" name="fire_count" queryTableFieldId="2"/>
    <tableColumn id="3" xr3:uid="{AA5863E9-D7A6-40B1-8576-B6C9BCC80E8E}" uniqueName="3" name="avg_size" queryTableFieldId="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drawing" Target="../drawings/drawing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drawing" Target="../drawings/drawing6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B0A7E-1FFB-42F6-9978-E6C9A928EEBC}">
  <dimension ref="A1:H25"/>
  <sheetViews>
    <sheetView workbookViewId="0">
      <selection sqref="A1:B25"/>
    </sheetView>
  </sheetViews>
  <sheetFormatPr defaultRowHeight="14.4" x14ac:dyDescent="0.3"/>
  <cols>
    <col min="1" max="1" width="11.88671875" bestFit="1" customWidth="1"/>
    <col min="2" max="2" width="11.5546875" bestFit="1" customWidth="1"/>
    <col min="3" max="3" width="12.44140625" bestFit="1" customWidth="1"/>
    <col min="4" max="4" width="12" bestFit="1" customWidth="1"/>
  </cols>
  <sheetData>
    <row r="1" spans="1:4" x14ac:dyDescent="0.3">
      <c r="A1" t="s">
        <v>31</v>
      </c>
      <c r="B1" t="s">
        <v>20</v>
      </c>
      <c r="C1" t="s">
        <v>4</v>
      </c>
      <c r="D1" t="s">
        <v>2</v>
      </c>
    </row>
    <row r="2" spans="1:4" x14ac:dyDescent="0.3">
      <c r="A2">
        <v>1992</v>
      </c>
      <c r="B2">
        <v>67975</v>
      </c>
      <c r="C2">
        <v>2199958.0010000002</v>
      </c>
      <c r="D2">
        <v>32.364222155204097</v>
      </c>
    </row>
    <row r="3" spans="1:4" x14ac:dyDescent="0.3">
      <c r="A3">
        <v>1993</v>
      </c>
      <c r="B3">
        <v>61989</v>
      </c>
      <c r="C3">
        <v>2191696.003</v>
      </c>
      <c r="D3">
        <v>35.356208407943299</v>
      </c>
    </row>
    <row r="4" spans="1:4" x14ac:dyDescent="0.3">
      <c r="A4">
        <v>1994</v>
      </c>
      <c r="B4">
        <v>75955</v>
      </c>
      <c r="C4">
        <v>4116675.5290000001</v>
      </c>
      <c r="D4">
        <v>54.198874715292</v>
      </c>
    </row>
    <row r="5" spans="1:4" x14ac:dyDescent="0.3">
      <c r="A5">
        <v>1995</v>
      </c>
      <c r="B5">
        <v>71472</v>
      </c>
      <c r="C5">
        <v>2049585.058</v>
      </c>
      <c r="D5">
        <v>28.676755344750401</v>
      </c>
    </row>
    <row r="6" spans="1:4" x14ac:dyDescent="0.3">
      <c r="A6">
        <v>1996</v>
      </c>
      <c r="B6">
        <v>75574</v>
      </c>
      <c r="C6">
        <v>6005155.7089999998</v>
      </c>
      <c r="D6">
        <v>79.460604295127993</v>
      </c>
    </row>
    <row r="7" spans="1:4" x14ac:dyDescent="0.3">
      <c r="A7">
        <v>1997</v>
      </c>
      <c r="B7">
        <v>61450</v>
      </c>
      <c r="C7">
        <v>3214635.31</v>
      </c>
      <c r="D7">
        <v>52.313023759153801</v>
      </c>
    </row>
    <row r="8" spans="1:4" x14ac:dyDescent="0.3">
      <c r="A8">
        <v>1998</v>
      </c>
      <c r="B8">
        <v>68370</v>
      </c>
      <c r="C8">
        <v>2011102.40001</v>
      </c>
      <c r="D8">
        <v>29.414983179903501</v>
      </c>
    </row>
    <row r="9" spans="1:4" x14ac:dyDescent="0.3">
      <c r="A9">
        <v>1999</v>
      </c>
      <c r="B9">
        <v>89363</v>
      </c>
      <c r="C9">
        <v>6080199.7152899997</v>
      </c>
      <c r="D9">
        <v>68.039341956850194</v>
      </c>
    </row>
    <row r="10" spans="1:4" x14ac:dyDescent="0.3">
      <c r="A10">
        <v>2000</v>
      </c>
      <c r="B10">
        <v>96416</v>
      </c>
      <c r="C10">
        <v>7639498.6440000003</v>
      </c>
      <c r="D10">
        <v>79.234760247261903</v>
      </c>
    </row>
    <row r="11" spans="1:4" x14ac:dyDescent="0.3">
      <c r="A11">
        <v>2001</v>
      </c>
      <c r="B11">
        <v>86587</v>
      </c>
      <c r="C11">
        <v>3724072.304</v>
      </c>
      <c r="D11">
        <v>43.009600794576599</v>
      </c>
    </row>
    <row r="12" spans="1:4" x14ac:dyDescent="0.3">
      <c r="A12">
        <v>2002</v>
      </c>
      <c r="B12">
        <v>75656</v>
      </c>
      <c r="C12">
        <v>6803258.3977589998</v>
      </c>
      <c r="D12">
        <v>89.923580387001707</v>
      </c>
    </row>
    <row r="13" spans="1:4" x14ac:dyDescent="0.3">
      <c r="A13">
        <v>2003</v>
      </c>
      <c r="B13">
        <v>68261</v>
      </c>
      <c r="C13">
        <v>4483572.9457599996</v>
      </c>
      <c r="D13">
        <v>65.682790257394402</v>
      </c>
    </row>
    <row r="14" spans="1:4" x14ac:dyDescent="0.3">
      <c r="A14">
        <v>2004</v>
      </c>
      <c r="B14">
        <v>69279</v>
      </c>
      <c r="C14">
        <v>8234208.1741399998</v>
      </c>
      <c r="D14">
        <v>118.855759669452</v>
      </c>
    </row>
    <row r="15" spans="1:4" x14ac:dyDescent="0.3">
      <c r="A15">
        <v>2005</v>
      </c>
      <c r="B15">
        <v>88604</v>
      </c>
      <c r="C15">
        <v>9665105.1280199997</v>
      </c>
      <c r="D15">
        <v>109.082040630446</v>
      </c>
    </row>
    <row r="16" spans="1:4" x14ac:dyDescent="0.3">
      <c r="A16">
        <v>2006</v>
      </c>
      <c r="B16">
        <v>114004</v>
      </c>
      <c r="C16">
        <v>10043497.91155</v>
      </c>
      <c r="D16">
        <v>88.097767723500894</v>
      </c>
    </row>
    <row r="17" spans="1:8" x14ac:dyDescent="0.3">
      <c r="A17">
        <v>2007</v>
      </c>
      <c r="B17">
        <v>95573</v>
      </c>
      <c r="C17">
        <v>9265428.7281500008</v>
      </c>
      <c r="D17">
        <v>96.946090717566705</v>
      </c>
      <c r="H17">
        <f>(SUM(D2:D25))/24</f>
        <v>72.991177746975922</v>
      </c>
    </row>
    <row r="18" spans="1:8" x14ac:dyDescent="0.3">
      <c r="A18">
        <v>2008</v>
      </c>
      <c r="B18">
        <v>85378</v>
      </c>
      <c r="C18">
        <v>5406532.1066800002</v>
      </c>
      <c r="D18">
        <v>63.324651627819797</v>
      </c>
    </row>
    <row r="19" spans="1:8" x14ac:dyDescent="0.3">
      <c r="A19">
        <v>2009</v>
      </c>
      <c r="B19">
        <v>78325</v>
      </c>
      <c r="C19">
        <v>6057166.106714</v>
      </c>
      <c r="D19">
        <v>77.333751761429895</v>
      </c>
    </row>
    <row r="20" spans="1:8" x14ac:dyDescent="0.3">
      <c r="A20">
        <v>2010</v>
      </c>
      <c r="B20">
        <v>79889</v>
      </c>
      <c r="C20">
        <v>3493455.21569</v>
      </c>
      <c r="D20">
        <v>43.728863994918001</v>
      </c>
    </row>
    <row r="21" spans="1:8" x14ac:dyDescent="0.3">
      <c r="A21">
        <v>2011</v>
      </c>
      <c r="B21">
        <v>90552</v>
      </c>
      <c r="C21">
        <v>9623597.2874999996</v>
      </c>
      <c r="D21">
        <v>106.277026321892</v>
      </c>
    </row>
    <row r="22" spans="1:8" x14ac:dyDescent="0.3">
      <c r="A22">
        <v>2012</v>
      </c>
      <c r="B22">
        <v>72769</v>
      </c>
      <c r="C22">
        <v>9439888.4519999996</v>
      </c>
      <c r="D22">
        <v>129.72403704874301</v>
      </c>
    </row>
    <row r="23" spans="1:8" x14ac:dyDescent="0.3">
      <c r="A23">
        <v>2013</v>
      </c>
      <c r="B23">
        <v>64780</v>
      </c>
      <c r="C23">
        <v>4492502.4149099998</v>
      </c>
      <c r="D23">
        <v>69.350145336677997</v>
      </c>
    </row>
    <row r="24" spans="1:8" x14ac:dyDescent="0.3">
      <c r="A24">
        <v>2014</v>
      </c>
      <c r="B24">
        <v>67753</v>
      </c>
      <c r="C24">
        <v>3673490.3927119998</v>
      </c>
      <c r="D24">
        <v>54.218859573922899</v>
      </c>
    </row>
    <row r="25" spans="1:8" x14ac:dyDescent="0.3">
      <c r="A25">
        <v>2015</v>
      </c>
      <c r="B25">
        <v>74491</v>
      </c>
      <c r="C25">
        <v>10218267.617799999</v>
      </c>
      <c r="D25">
        <v>137.17452602059299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4FF9A-ADBA-41B9-8C49-597E28EC425E}">
  <dimension ref="A1:C11"/>
  <sheetViews>
    <sheetView workbookViewId="0">
      <selection sqref="A1:B11"/>
    </sheetView>
  </sheetViews>
  <sheetFormatPr defaultRowHeight="14.4" x14ac:dyDescent="0.3"/>
  <cols>
    <col min="1" max="1" width="8.21875" bestFit="1" customWidth="1"/>
    <col min="2" max="2" width="11.44140625" bestFit="1" customWidth="1"/>
    <col min="3" max="3" width="12.44140625" bestFit="1" customWidth="1"/>
  </cols>
  <sheetData>
    <row r="1" spans="1:3" x14ac:dyDescent="0.3">
      <c r="A1" t="s">
        <v>59</v>
      </c>
      <c r="B1" t="s">
        <v>1</v>
      </c>
      <c r="C1" t="s">
        <v>4</v>
      </c>
    </row>
    <row r="2" spans="1:3" x14ac:dyDescent="0.3">
      <c r="A2" s="5" t="s">
        <v>71</v>
      </c>
      <c r="B2">
        <v>189550</v>
      </c>
      <c r="C2">
        <v>12745858.572000001</v>
      </c>
    </row>
    <row r="3" spans="1:3" x14ac:dyDescent="0.3">
      <c r="A3" s="5" t="s">
        <v>72</v>
      </c>
      <c r="B3">
        <v>168867</v>
      </c>
      <c r="C3">
        <v>1589959.1800599999</v>
      </c>
    </row>
    <row r="4" spans="1:3" x14ac:dyDescent="0.3">
      <c r="A4" s="5" t="s">
        <v>73</v>
      </c>
      <c r="B4">
        <v>142021</v>
      </c>
      <c r="C4">
        <v>9786218.3099799994</v>
      </c>
    </row>
    <row r="5" spans="1:3" x14ac:dyDescent="0.3">
      <c r="A5" s="5" t="s">
        <v>74</v>
      </c>
      <c r="B5">
        <v>111277</v>
      </c>
      <c r="C5">
        <v>730521.46001000004</v>
      </c>
    </row>
    <row r="6" spans="1:3" x14ac:dyDescent="0.3">
      <c r="A6" s="5" t="s">
        <v>75</v>
      </c>
      <c r="B6">
        <v>90261</v>
      </c>
      <c r="C6">
        <v>4436748.1598500004</v>
      </c>
    </row>
    <row r="7" spans="1:3" x14ac:dyDescent="0.3">
      <c r="A7" s="5" t="s">
        <v>76</v>
      </c>
      <c r="B7">
        <v>81315</v>
      </c>
      <c r="C7">
        <v>541666.14497999998</v>
      </c>
    </row>
    <row r="8" spans="1:3" x14ac:dyDescent="0.3">
      <c r="A8" s="5" t="s">
        <v>77</v>
      </c>
      <c r="B8">
        <v>80870</v>
      </c>
      <c r="C8">
        <v>93771.972815999994</v>
      </c>
    </row>
    <row r="9" spans="1:3" x14ac:dyDescent="0.3">
      <c r="A9" s="5" t="s">
        <v>78</v>
      </c>
      <c r="B9">
        <v>79230</v>
      </c>
      <c r="C9">
        <v>1135483.8</v>
      </c>
    </row>
    <row r="10" spans="1:3" x14ac:dyDescent="0.3">
      <c r="A10" s="5" t="s">
        <v>62</v>
      </c>
      <c r="B10">
        <v>71586</v>
      </c>
      <c r="C10">
        <v>5576680.9339899998</v>
      </c>
    </row>
    <row r="11" spans="1:3" x14ac:dyDescent="0.3">
      <c r="A11" s="5" t="s">
        <v>79</v>
      </c>
      <c r="B11">
        <v>66570</v>
      </c>
      <c r="C11">
        <v>920545.255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196E6-D75A-4F35-ABD0-C023B41F8FC0}">
  <dimension ref="A1:B11"/>
  <sheetViews>
    <sheetView workbookViewId="0"/>
  </sheetViews>
  <sheetFormatPr defaultRowHeight="14.4" x14ac:dyDescent="0.3"/>
  <cols>
    <col min="1" max="1" width="8.21875" bestFit="1" customWidth="1"/>
    <col min="2" max="2" width="12" bestFit="1" customWidth="1"/>
  </cols>
  <sheetData>
    <row r="1" spans="1:2" x14ac:dyDescent="0.3">
      <c r="A1" t="s">
        <v>59</v>
      </c>
      <c r="B1" t="s">
        <v>2</v>
      </c>
    </row>
    <row r="2" spans="1:2" x14ac:dyDescent="0.3">
      <c r="A2" s="5" t="s">
        <v>60</v>
      </c>
      <c r="B2">
        <v>2509.7791981780001</v>
      </c>
    </row>
    <row r="3" spans="1:2" x14ac:dyDescent="0.3">
      <c r="A3" s="5" t="s">
        <v>63</v>
      </c>
      <c r="B3">
        <v>531.72064991743298</v>
      </c>
    </row>
    <row r="4" spans="1:2" x14ac:dyDescent="0.3">
      <c r="A4" s="5" t="s">
        <v>64</v>
      </c>
      <c r="B4">
        <v>372.89048234236202</v>
      </c>
    </row>
    <row r="5" spans="1:2" x14ac:dyDescent="0.3">
      <c r="A5" s="5" t="s">
        <v>65</v>
      </c>
      <c r="B5">
        <v>170.234317760019</v>
      </c>
    </row>
    <row r="6" spans="1:2" x14ac:dyDescent="0.3">
      <c r="A6" s="5" t="s">
        <v>66</v>
      </c>
      <c r="B6">
        <v>169.523555287308</v>
      </c>
    </row>
    <row r="7" spans="1:2" x14ac:dyDescent="0.3">
      <c r="A7" s="5" t="s">
        <v>67</v>
      </c>
      <c r="B7">
        <v>154.03454068683001</v>
      </c>
    </row>
    <row r="8" spans="1:2" x14ac:dyDescent="0.3">
      <c r="A8" s="5" t="s">
        <v>68</v>
      </c>
      <c r="B8">
        <v>142.69741025870599</v>
      </c>
    </row>
    <row r="9" spans="1:2" x14ac:dyDescent="0.3">
      <c r="A9" s="5" t="s">
        <v>61</v>
      </c>
      <c r="B9">
        <v>137.71610414483999</v>
      </c>
    </row>
    <row r="10" spans="1:2" x14ac:dyDescent="0.3">
      <c r="A10" s="5" t="s">
        <v>69</v>
      </c>
      <c r="B10">
        <v>133.927627632547</v>
      </c>
    </row>
    <row r="11" spans="1:2" x14ac:dyDescent="0.3">
      <c r="A11" s="5" t="s">
        <v>70</v>
      </c>
      <c r="B11">
        <v>121.33434816254901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EC549-716C-4C2E-8B7F-731D956D4A91}">
  <dimension ref="A1:E6"/>
  <sheetViews>
    <sheetView workbookViewId="0">
      <selection activeCell="C1" activeCellId="1" sqref="A1:A6 C1:D6"/>
    </sheetView>
  </sheetViews>
  <sheetFormatPr defaultRowHeight="14.4" x14ac:dyDescent="0.3"/>
  <cols>
    <col min="1" max="1" width="18" bestFit="1" customWidth="1"/>
    <col min="2" max="2" width="8.21875" bestFit="1" customWidth="1"/>
    <col min="3" max="3" width="11.88671875" bestFit="1" customWidth="1"/>
    <col min="4" max="4" width="11.33203125" bestFit="1" customWidth="1"/>
    <col min="5" max="5" width="20.33203125" bestFit="1" customWidth="1"/>
  </cols>
  <sheetData>
    <row r="1" spans="1:5" x14ac:dyDescent="0.3">
      <c r="A1" t="s">
        <v>32</v>
      </c>
      <c r="B1" t="s">
        <v>59</v>
      </c>
      <c r="C1" t="s">
        <v>31</v>
      </c>
      <c r="D1" t="s">
        <v>33</v>
      </c>
      <c r="E1" t="s">
        <v>18</v>
      </c>
    </row>
    <row r="2" spans="1:5" x14ac:dyDescent="0.3">
      <c r="A2" s="5" t="s">
        <v>40</v>
      </c>
      <c r="B2" s="5" t="s">
        <v>60</v>
      </c>
      <c r="C2">
        <v>1997</v>
      </c>
      <c r="D2">
        <v>606945</v>
      </c>
      <c r="E2" s="5" t="s">
        <v>8</v>
      </c>
    </row>
    <row r="3" spans="1:5" x14ac:dyDescent="0.3">
      <c r="A3" s="5" t="s">
        <v>55</v>
      </c>
      <c r="B3" s="5" t="s">
        <v>61</v>
      </c>
      <c r="C3">
        <v>2012</v>
      </c>
      <c r="D3">
        <v>558198.30000000005</v>
      </c>
      <c r="E3" s="5" t="s">
        <v>8</v>
      </c>
    </row>
    <row r="4" spans="1:5" x14ac:dyDescent="0.3">
      <c r="A4" s="5" t="s">
        <v>54</v>
      </c>
      <c r="B4" s="5" t="s">
        <v>62</v>
      </c>
      <c r="C4">
        <v>2011</v>
      </c>
      <c r="D4">
        <v>538049</v>
      </c>
      <c r="E4" s="5" t="s">
        <v>11</v>
      </c>
    </row>
    <row r="5" spans="1:5" x14ac:dyDescent="0.3">
      <c r="A5" s="5" t="s">
        <v>47</v>
      </c>
      <c r="B5" s="5" t="s">
        <v>60</v>
      </c>
      <c r="C5">
        <v>2004</v>
      </c>
      <c r="D5">
        <v>537627</v>
      </c>
      <c r="E5" s="5" t="s">
        <v>8</v>
      </c>
    </row>
    <row r="6" spans="1:5" x14ac:dyDescent="0.3">
      <c r="A6" s="5" t="s">
        <v>52</v>
      </c>
      <c r="B6" s="5" t="s">
        <v>60</v>
      </c>
      <c r="C6">
        <v>2009</v>
      </c>
      <c r="D6">
        <v>517078</v>
      </c>
      <c r="E6" s="5" t="s">
        <v>8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E1A60-BFEC-4BFB-B16D-C9FE69349E8F}">
  <dimension ref="A1:D25"/>
  <sheetViews>
    <sheetView workbookViewId="0"/>
  </sheetViews>
  <sheetFormatPr defaultRowHeight="14.4" x14ac:dyDescent="0.3"/>
  <cols>
    <col min="1" max="1" width="11.88671875" bestFit="1" customWidth="1"/>
    <col min="2" max="2" width="18" bestFit="1" customWidth="1"/>
    <col min="3" max="3" width="11.33203125" bestFit="1" customWidth="1"/>
    <col min="4" max="4" width="4.88671875" bestFit="1" customWidth="1"/>
  </cols>
  <sheetData>
    <row r="1" spans="1:4" x14ac:dyDescent="0.3">
      <c r="A1" t="s">
        <v>31</v>
      </c>
      <c r="B1" t="s">
        <v>32</v>
      </c>
      <c r="C1" t="s">
        <v>33</v>
      </c>
      <c r="D1" t="s">
        <v>34</v>
      </c>
    </row>
    <row r="2" spans="1:4" x14ac:dyDescent="0.3">
      <c r="A2">
        <v>1992</v>
      </c>
      <c r="B2" s="5" t="s">
        <v>35</v>
      </c>
      <c r="C2">
        <v>177544</v>
      </c>
      <c r="D2">
        <v>1</v>
      </c>
    </row>
    <row r="3" spans="1:4" x14ac:dyDescent="0.3">
      <c r="A3">
        <v>1993</v>
      </c>
      <c r="B3" s="5" t="s">
        <v>36</v>
      </c>
      <c r="C3">
        <v>215360</v>
      </c>
      <c r="D3">
        <v>1</v>
      </c>
    </row>
    <row r="4" spans="1:4" x14ac:dyDescent="0.3">
      <c r="A4">
        <v>1994</v>
      </c>
      <c r="B4" s="5" t="s">
        <v>37</v>
      </c>
      <c r="C4">
        <v>146400</v>
      </c>
      <c r="D4">
        <v>1</v>
      </c>
    </row>
    <row r="5" spans="1:4" x14ac:dyDescent="0.3">
      <c r="A5">
        <v>1995</v>
      </c>
      <c r="B5" s="5" t="s">
        <v>38</v>
      </c>
      <c r="C5">
        <v>64193</v>
      </c>
      <c r="D5">
        <v>1</v>
      </c>
    </row>
    <row r="6" spans="1:4" x14ac:dyDescent="0.3">
      <c r="A6">
        <v>1996</v>
      </c>
      <c r="B6" s="5" t="s">
        <v>39</v>
      </c>
      <c r="C6">
        <v>206202.6</v>
      </c>
      <c r="D6">
        <v>1</v>
      </c>
    </row>
    <row r="7" spans="1:4" x14ac:dyDescent="0.3">
      <c r="A7">
        <v>1997</v>
      </c>
      <c r="B7" s="5" t="s">
        <v>40</v>
      </c>
      <c r="C7">
        <v>606945</v>
      </c>
      <c r="D7">
        <v>1</v>
      </c>
    </row>
    <row r="8" spans="1:4" x14ac:dyDescent="0.3">
      <c r="A8">
        <v>1998</v>
      </c>
      <c r="B8" s="5" t="s">
        <v>41</v>
      </c>
      <c r="C8">
        <v>55375</v>
      </c>
      <c r="D8">
        <v>1</v>
      </c>
    </row>
    <row r="9" spans="1:4" x14ac:dyDescent="0.3">
      <c r="A9">
        <v>1999</v>
      </c>
      <c r="B9" s="5" t="s">
        <v>42</v>
      </c>
      <c r="C9">
        <v>232828</v>
      </c>
      <c r="D9">
        <v>1</v>
      </c>
    </row>
    <row r="10" spans="1:4" x14ac:dyDescent="0.3">
      <c r="A10">
        <v>2000</v>
      </c>
      <c r="B10" s="5" t="s">
        <v>43</v>
      </c>
      <c r="C10">
        <v>172135</v>
      </c>
      <c r="D10">
        <v>1</v>
      </c>
    </row>
    <row r="11" spans="1:4" x14ac:dyDescent="0.3">
      <c r="A11">
        <v>2001</v>
      </c>
      <c r="B11" s="5" t="s">
        <v>44</v>
      </c>
      <c r="C11">
        <v>112112</v>
      </c>
      <c r="D11">
        <v>1</v>
      </c>
    </row>
    <row r="12" spans="1:4" x14ac:dyDescent="0.3">
      <c r="A12">
        <v>2002</v>
      </c>
      <c r="B12" s="5" t="s">
        <v>45</v>
      </c>
      <c r="C12">
        <v>499945</v>
      </c>
      <c r="D12">
        <v>1</v>
      </c>
    </row>
    <row r="13" spans="1:4" x14ac:dyDescent="0.3">
      <c r="A13">
        <v>2003</v>
      </c>
      <c r="B13" s="5" t="s">
        <v>46</v>
      </c>
      <c r="C13">
        <v>280059</v>
      </c>
      <c r="D13">
        <v>1</v>
      </c>
    </row>
    <row r="14" spans="1:4" x14ac:dyDescent="0.3">
      <c r="A14">
        <v>2004</v>
      </c>
      <c r="B14" s="5" t="s">
        <v>47</v>
      </c>
      <c r="C14">
        <v>537627</v>
      </c>
      <c r="D14">
        <v>1</v>
      </c>
    </row>
    <row r="15" spans="1:4" x14ac:dyDescent="0.3">
      <c r="A15">
        <v>2005</v>
      </c>
      <c r="B15" s="5" t="s">
        <v>48</v>
      </c>
      <c r="C15">
        <v>248310</v>
      </c>
      <c r="D15">
        <v>1</v>
      </c>
    </row>
    <row r="16" spans="1:4" x14ac:dyDescent="0.3">
      <c r="A16">
        <v>2006</v>
      </c>
      <c r="B16" s="5" t="s">
        <v>49</v>
      </c>
      <c r="C16">
        <v>479549</v>
      </c>
      <c r="D16">
        <v>1</v>
      </c>
    </row>
    <row r="17" spans="1:4" x14ac:dyDescent="0.3">
      <c r="A17">
        <v>2007</v>
      </c>
      <c r="B17" s="5" t="s">
        <v>50</v>
      </c>
      <c r="C17">
        <v>367785</v>
      </c>
      <c r="D17">
        <v>1</v>
      </c>
    </row>
    <row r="18" spans="1:4" x14ac:dyDescent="0.3">
      <c r="A18">
        <v>2008</v>
      </c>
      <c r="B18" s="5" t="s">
        <v>51</v>
      </c>
      <c r="C18">
        <v>220000</v>
      </c>
      <c r="D18">
        <v>1</v>
      </c>
    </row>
    <row r="19" spans="1:4" x14ac:dyDescent="0.3">
      <c r="A19">
        <v>2009</v>
      </c>
      <c r="B19" s="5" t="s">
        <v>52</v>
      </c>
      <c r="C19">
        <v>517078</v>
      </c>
      <c r="D19">
        <v>1</v>
      </c>
    </row>
    <row r="20" spans="1:4" x14ac:dyDescent="0.3">
      <c r="A20">
        <v>2010</v>
      </c>
      <c r="B20" s="5" t="s">
        <v>53</v>
      </c>
      <c r="C20">
        <v>306113</v>
      </c>
      <c r="D20">
        <v>1</v>
      </c>
    </row>
    <row r="21" spans="1:4" x14ac:dyDescent="0.3">
      <c r="A21">
        <v>2011</v>
      </c>
      <c r="B21" s="5" t="s">
        <v>54</v>
      </c>
      <c r="C21">
        <v>538049</v>
      </c>
      <c r="D21">
        <v>1</v>
      </c>
    </row>
    <row r="22" spans="1:4" x14ac:dyDescent="0.3">
      <c r="A22">
        <v>2012</v>
      </c>
      <c r="B22" s="5" t="s">
        <v>55</v>
      </c>
      <c r="C22">
        <v>558198.30000000005</v>
      </c>
      <c r="D22">
        <v>1</v>
      </c>
    </row>
    <row r="23" spans="1:4" x14ac:dyDescent="0.3">
      <c r="A23">
        <v>2013</v>
      </c>
      <c r="B23" s="5" t="s">
        <v>56</v>
      </c>
      <c r="C23">
        <v>255858</v>
      </c>
      <c r="D23">
        <v>1</v>
      </c>
    </row>
    <row r="24" spans="1:4" x14ac:dyDescent="0.3">
      <c r="A24">
        <v>2014</v>
      </c>
      <c r="B24" s="5" t="s">
        <v>57</v>
      </c>
      <c r="C24">
        <v>280141</v>
      </c>
      <c r="D24">
        <v>1</v>
      </c>
    </row>
    <row r="25" spans="1:4" x14ac:dyDescent="0.3">
      <c r="A25">
        <v>2015</v>
      </c>
      <c r="B25" s="5" t="s">
        <v>58</v>
      </c>
      <c r="C25">
        <v>312918.3</v>
      </c>
      <c r="D25">
        <v>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7369F-AC8E-4931-8E07-B0A441B342B7}">
  <dimension ref="A1:C8"/>
  <sheetViews>
    <sheetView workbookViewId="0"/>
  </sheetViews>
  <sheetFormatPr defaultRowHeight="14.4" x14ac:dyDescent="0.3"/>
  <cols>
    <col min="1" max="1" width="17.6640625" bestFit="1" customWidth="1"/>
    <col min="2" max="2" width="7" bestFit="1" customWidth="1"/>
    <col min="3" max="3" width="12.44140625" bestFit="1" customWidth="1"/>
  </cols>
  <sheetData>
    <row r="1" spans="1:3" x14ac:dyDescent="0.3">
      <c r="A1" t="s">
        <v>22</v>
      </c>
      <c r="B1" t="s">
        <v>23</v>
      </c>
      <c r="C1" t="s">
        <v>4</v>
      </c>
    </row>
    <row r="2" spans="1:3" x14ac:dyDescent="0.3">
      <c r="A2" s="5" t="s">
        <v>24</v>
      </c>
      <c r="B2">
        <v>666919</v>
      </c>
      <c r="C2">
        <v>79230.652669000003</v>
      </c>
    </row>
    <row r="3" spans="1:3" x14ac:dyDescent="0.3">
      <c r="A3" s="5" t="s">
        <v>25</v>
      </c>
      <c r="B3">
        <v>939376</v>
      </c>
      <c r="C3">
        <v>2016838.6515200001</v>
      </c>
    </row>
    <row r="4" spans="1:3" x14ac:dyDescent="0.3">
      <c r="A4" s="5" t="s">
        <v>26</v>
      </c>
      <c r="B4">
        <v>220077</v>
      </c>
      <c r="C4">
        <v>6279218.1371959997</v>
      </c>
    </row>
    <row r="5" spans="1:3" x14ac:dyDescent="0.3">
      <c r="A5" s="5" t="s">
        <v>27</v>
      </c>
      <c r="B5">
        <v>28427</v>
      </c>
      <c r="C5">
        <v>4599517.9898899999</v>
      </c>
    </row>
    <row r="6" spans="1:3" x14ac:dyDescent="0.3">
      <c r="A6" s="5" t="s">
        <v>28</v>
      </c>
      <c r="B6">
        <v>14107</v>
      </c>
      <c r="C6">
        <v>7234844.1299099997</v>
      </c>
    </row>
    <row r="7" spans="1:3" x14ac:dyDescent="0.3">
      <c r="A7" s="5" t="s">
        <v>29</v>
      </c>
      <c r="B7">
        <v>7786</v>
      </c>
      <c r="C7">
        <v>16587256.469900001</v>
      </c>
    </row>
    <row r="8" spans="1:3" x14ac:dyDescent="0.3">
      <c r="A8" s="5" t="s">
        <v>30</v>
      </c>
      <c r="B8">
        <v>3773</v>
      </c>
      <c r="C8">
        <v>103335643.52159999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DE798-3F4F-44D5-9B74-C685011B39BA}">
  <dimension ref="A1:B2"/>
  <sheetViews>
    <sheetView workbookViewId="0">
      <selection activeCell="B2" sqref="B2"/>
    </sheetView>
  </sheetViews>
  <sheetFormatPr defaultRowHeight="14.4" x14ac:dyDescent="0.3"/>
  <cols>
    <col min="1" max="1" width="11.5546875" bestFit="1" customWidth="1"/>
    <col min="2" max="2" width="19.21875" bestFit="1" customWidth="1"/>
  </cols>
  <sheetData>
    <row r="1" spans="1:2" x14ac:dyDescent="0.3">
      <c r="A1" t="s">
        <v>20</v>
      </c>
      <c r="B1" t="s">
        <v>21</v>
      </c>
    </row>
    <row r="2" spans="1:2" x14ac:dyDescent="0.3">
      <c r="A2">
        <v>1880465</v>
      </c>
      <c r="B2">
        <v>140132549.55000001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01778-A42B-437D-B0D6-A7DF1C2E8EDF}">
  <dimension ref="A1:B13"/>
  <sheetViews>
    <sheetView workbookViewId="0">
      <selection activeCell="G5" sqref="G5"/>
    </sheetView>
  </sheetViews>
  <sheetFormatPr defaultRowHeight="14.4" x14ac:dyDescent="0.3"/>
  <cols>
    <col min="1" max="1" width="8.5546875" bestFit="1" customWidth="1"/>
    <col min="2" max="2" width="11.441406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>
        <v>96438</v>
      </c>
    </row>
    <row r="3" spans="1:2" x14ac:dyDescent="0.3">
      <c r="A3">
        <v>2</v>
      </c>
      <c r="B3">
        <v>149142</v>
      </c>
    </row>
    <row r="4" spans="1:2" x14ac:dyDescent="0.3">
      <c r="A4">
        <v>3</v>
      </c>
      <c r="B4">
        <v>235983</v>
      </c>
    </row>
    <row r="5" spans="1:2" x14ac:dyDescent="0.3">
      <c r="A5">
        <v>4</v>
      </c>
      <c r="B5">
        <v>236239</v>
      </c>
    </row>
    <row r="6" spans="1:2" x14ac:dyDescent="0.3">
      <c r="A6">
        <v>5</v>
      </c>
      <c r="B6">
        <v>163898</v>
      </c>
    </row>
    <row r="7" spans="1:2" x14ac:dyDescent="0.3">
      <c r="A7">
        <v>6</v>
      </c>
      <c r="B7">
        <v>163440</v>
      </c>
    </row>
    <row r="8" spans="1:2" x14ac:dyDescent="0.3">
      <c r="A8">
        <v>7</v>
      </c>
      <c r="B8">
        <v>237234</v>
      </c>
    </row>
    <row r="9" spans="1:2" x14ac:dyDescent="0.3">
      <c r="A9">
        <v>8</v>
      </c>
      <c r="B9">
        <v>208578</v>
      </c>
    </row>
    <row r="10" spans="1:2" x14ac:dyDescent="0.3">
      <c r="A10">
        <v>9</v>
      </c>
      <c r="B10">
        <v>132065</v>
      </c>
    </row>
    <row r="11" spans="1:2" x14ac:dyDescent="0.3">
      <c r="A11">
        <v>10</v>
      </c>
      <c r="B11">
        <v>104992</v>
      </c>
    </row>
    <row r="12" spans="1:2" x14ac:dyDescent="0.3">
      <c r="A12">
        <v>11</v>
      </c>
      <c r="B12">
        <v>93637</v>
      </c>
    </row>
    <row r="13" spans="1:2" x14ac:dyDescent="0.3">
      <c r="A13">
        <v>12</v>
      </c>
      <c r="B13">
        <v>58819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FDB46-4715-43DB-B8F5-DD597D5A419F}">
  <dimension ref="A1:C14"/>
  <sheetViews>
    <sheetView workbookViewId="0"/>
  </sheetViews>
  <sheetFormatPr defaultRowHeight="14.4" x14ac:dyDescent="0.3"/>
  <cols>
    <col min="1" max="1" width="20.33203125" bestFit="1" customWidth="1"/>
    <col min="2" max="2" width="11.44140625" bestFit="1" customWidth="1"/>
    <col min="3" max="3" width="12.5546875" bestFit="1" customWidth="1"/>
  </cols>
  <sheetData>
    <row r="1" spans="1:3" x14ac:dyDescent="0.3">
      <c r="A1" t="s">
        <v>18</v>
      </c>
      <c r="B1" t="s">
        <v>1</v>
      </c>
      <c r="C1" t="s">
        <v>19</v>
      </c>
    </row>
    <row r="2" spans="1:3" x14ac:dyDescent="0.3">
      <c r="A2" s="5" t="s">
        <v>5</v>
      </c>
      <c r="B2">
        <v>429028</v>
      </c>
      <c r="C2">
        <v>22.81</v>
      </c>
    </row>
    <row r="3" spans="1:3" x14ac:dyDescent="0.3">
      <c r="A3" s="5" t="s">
        <v>6</v>
      </c>
      <c r="B3">
        <v>323805</v>
      </c>
      <c r="C3">
        <v>17.22</v>
      </c>
    </row>
    <row r="4" spans="1:3" x14ac:dyDescent="0.3">
      <c r="A4" s="5" t="s">
        <v>7</v>
      </c>
      <c r="B4">
        <v>281455</v>
      </c>
      <c r="C4">
        <v>14.97</v>
      </c>
    </row>
    <row r="5" spans="1:3" x14ac:dyDescent="0.3">
      <c r="A5" s="5" t="s">
        <v>8</v>
      </c>
      <c r="B5">
        <v>278468</v>
      </c>
      <c r="C5">
        <v>14.81</v>
      </c>
    </row>
    <row r="6" spans="1:3" x14ac:dyDescent="0.3">
      <c r="A6" s="5" t="s">
        <v>9</v>
      </c>
      <c r="B6">
        <v>166723</v>
      </c>
      <c r="C6">
        <v>8.8699999999999992</v>
      </c>
    </row>
    <row r="7" spans="1:3" x14ac:dyDescent="0.3">
      <c r="A7" s="5" t="s">
        <v>10</v>
      </c>
      <c r="B7">
        <v>147612</v>
      </c>
      <c r="C7">
        <v>7.85</v>
      </c>
    </row>
    <row r="8" spans="1:3" x14ac:dyDescent="0.3">
      <c r="A8" s="5" t="s">
        <v>11</v>
      </c>
      <c r="B8">
        <v>76139</v>
      </c>
      <c r="C8">
        <v>4.05</v>
      </c>
    </row>
    <row r="9" spans="1:3" x14ac:dyDescent="0.3">
      <c r="A9" s="5" t="s">
        <v>12</v>
      </c>
      <c r="B9">
        <v>61167</v>
      </c>
      <c r="C9">
        <v>3.25</v>
      </c>
    </row>
    <row r="10" spans="1:3" x14ac:dyDescent="0.3">
      <c r="A10" s="5" t="s">
        <v>13</v>
      </c>
      <c r="B10">
        <v>52869</v>
      </c>
      <c r="C10">
        <v>2.81</v>
      </c>
    </row>
    <row r="11" spans="1:3" x14ac:dyDescent="0.3">
      <c r="A11" s="5" t="s">
        <v>14</v>
      </c>
      <c r="B11">
        <v>33455</v>
      </c>
      <c r="C11">
        <v>1.78</v>
      </c>
    </row>
    <row r="12" spans="1:3" x14ac:dyDescent="0.3">
      <c r="A12" s="5" t="s">
        <v>15</v>
      </c>
      <c r="B12">
        <v>14448</v>
      </c>
      <c r="C12">
        <v>0.77</v>
      </c>
    </row>
    <row r="13" spans="1:3" x14ac:dyDescent="0.3">
      <c r="A13" s="5" t="s">
        <v>16</v>
      </c>
      <c r="B13">
        <v>11500</v>
      </c>
      <c r="C13">
        <v>0.61</v>
      </c>
    </row>
    <row r="14" spans="1:3" x14ac:dyDescent="0.3">
      <c r="A14" s="5" t="s">
        <v>17</v>
      </c>
      <c r="B14">
        <v>3796</v>
      </c>
      <c r="C14">
        <v>0.2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63239-2EB9-423D-B437-01AA44EDFC4F}">
  <dimension ref="A1:D14"/>
  <sheetViews>
    <sheetView workbookViewId="0">
      <selection activeCell="G13" sqref="G13"/>
    </sheetView>
  </sheetViews>
  <sheetFormatPr defaultRowHeight="14.4" x14ac:dyDescent="0.3"/>
  <cols>
    <col min="1" max="1" width="16" bestFit="1" customWidth="1"/>
    <col min="2" max="2" width="11.44140625" bestFit="1" customWidth="1"/>
    <col min="3" max="3" width="12.44140625" bestFit="1" customWidth="1"/>
    <col min="4" max="4" width="12" bestFit="1" customWidth="1"/>
  </cols>
  <sheetData>
    <row r="1" spans="1:4" x14ac:dyDescent="0.3">
      <c r="A1" t="s">
        <v>3</v>
      </c>
      <c r="B1" t="s">
        <v>1</v>
      </c>
      <c r="C1" t="s">
        <v>4</v>
      </c>
      <c r="D1" t="s">
        <v>2</v>
      </c>
    </row>
    <row r="2" spans="1:4" x14ac:dyDescent="0.3">
      <c r="A2" s="5" t="s">
        <v>5</v>
      </c>
      <c r="B2">
        <v>429028</v>
      </c>
      <c r="C2">
        <v>5975792.7116029998</v>
      </c>
      <c r="D2">
        <v>13.9286776424919</v>
      </c>
    </row>
    <row r="3" spans="1:4" x14ac:dyDescent="0.3">
      <c r="A3" s="5" t="s">
        <v>6</v>
      </c>
      <c r="B3">
        <v>323805</v>
      </c>
      <c r="C3">
        <v>14394204.201986</v>
      </c>
      <c r="D3">
        <v>44.453310486206199</v>
      </c>
    </row>
    <row r="4" spans="1:4" x14ac:dyDescent="0.3">
      <c r="A4" s="5" t="s">
        <v>7</v>
      </c>
      <c r="B4">
        <v>281455</v>
      </c>
      <c r="C4">
        <v>9487274.1599700004</v>
      </c>
      <c r="D4">
        <v>33.707960988328502</v>
      </c>
    </row>
    <row r="5" spans="1:4" x14ac:dyDescent="0.3">
      <c r="A5" s="5" t="s">
        <v>8</v>
      </c>
      <c r="B5">
        <v>278468</v>
      </c>
      <c r="C5">
        <v>87033501.016669005</v>
      </c>
      <c r="D5">
        <v>312.54399434286501</v>
      </c>
    </row>
    <row r="6" spans="1:4" x14ac:dyDescent="0.3">
      <c r="A6" s="5" t="s">
        <v>9</v>
      </c>
      <c r="B6">
        <v>166723</v>
      </c>
      <c r="C6">
        <v>8751725.4915369991</v>
      </c>
      <c r="D6">
        <v>52.4926104468909</v>
      </c>
    </row>
    <row r="7" spans="1:4" x14ac:dyDescent="0.3">
      <c r="A7" s="5" t="s">
        <v>10</v>
      </c>
      <c r="B7">
        <v>147612</v>
      </c>
      <c r="C7">
        <v>6799046.3664699998</v>
      </c>
      <c r="D7">
        <v>46.060255036650098</v>
      </c>
    </row>
    <row r="8" spans="1:4" x14ac:dyDescent="0.3">
      <c r="A8" s="5" t="s">
        <v>11</v>
      </c>
      <c r="B8">
        <v>76139</v>
      </c>
      <c r="C8">
        <v>3429061.4610000001</v>
      </c>
      <c r="D8">
        <v>45.036859703962499</v>
      </c>
    </row>
    <row r="9" spans="1:4" x14ac:dyDescent="0.3">
      <c r="A9" s="5" t="s">
        <v>12</v>
      </c>
      <c r="B9">
        <v>61167</v>
      </c>
      <c r="C9">
        <v>469830.28807000001</v>
      </c>
      <c r="D9">
        <v>7.68110726486504</v>
      </c>
    </row>
    <row r="10" spans="1:4" x14ac:dyDescent="0.3">
      <c r="A10" s="5" t="s">
        <v>13</v>
      </c>
      <c r="B10">
        <v>52869</v>
      </c>
      <c r="C10">
        <v>842660.52220000001</v>
      </c>
      <c r="D10">
        <v>15.9386506686338</v>
      </c>
    </row>
    <row r="11" spans="1:4" x14ac:dyDescent="0.3">
      <c r="A11" s="5" t="s">
        <v>14</v>
      </c>
      <c r="B11">
        <v>33455</v>
      </c>
      <c r="C11">
        <v>849613.77017999999</v>
      </c>
      <c r="D11">
        <v>25.395718732028101</v>
      </c>
    </row>
    <row r="12" spans="1:4" x14ac:dyDescent="0.3">
      <c r="A12" s="5" t="s">
        <v>15</v>
      </c>
      <c r="B12">
        <v>14448</v>
      </c>
      <c r="C12">
        <v>1609442.8589999999</v>
      </c>
      <c r="D12">
        <v>111.39554671926901</v>
      </c>
    </row>
    <row r="13" spans="1:4" x14ac:dyDescent="0.3">
      <c r="A13" s="5" t="s">
        <v>16</v>
      </c>
      <c r="B13">
        <v>11500</v>
      </c>
      <c r="C13">
        <v>318207.31300000002</v>
      </c>
      <c r="D13">
        <v>27.670201130434801</v>
      </c>
    </row>
    <row r="14" spans="1:4" x14ac:dyDescent="0.3">
      <c r="A14" s="5" t="s">
        <v>17</v>
      </c>
      <c r="B14">
        <v>3796</v>
      </c>
      <c r="C14">
        <v>172189.391</v>
      </c>
      <c r="D14">
        <v>45.360745785036897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4C3B7-C7C2-4B3F-93CD-DA5AA4B2919D}">
  <dimension ref="A1:C13"/>
  <sheetViews>
    <sheetView workbookViewId="0">
      <selection sqref="A1:B13"/>
    </sheetView>
  </sheetViews>
  <sheetFormatPr defaultRowHeight="14.4" x14ac:dyDescent="0.3"/>
  <cols>
    <col min="1" max="1" width="8.5546875" bestFit="1" customWidth="1"/>
    <col min="2" max="2" width="11.44140625" bestFit="1" customWidth="1"/>
    <col min="3" max="3" width="13.66406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>
        <v>1</v>
      </c>
      <c r="B2" s="2">
        <v>96438</v>
      </c>
      <c r="C2" s="7">
        <v>19.672580824363799</v>
      </c>
    </row>
    <row r="3" spans="1:3" x14ac:dyDescent="0.3">
      <c r="A3">
        <v>2</v>
      </c>
      <c r="B3">
        <v>149142</v>
      </c>
      <c r="C3" s="13">
        <v>24.074019000529699</v>
      </c>
    </row>
    <row r="4" spans="1:3" x14ac:dyDescent="0.3">
      <c r="A4">
        <v>3</v>
      </c>
      <c r="B4">
        <v>235983</v>
      </c>
      <c r="C4" s="13">
        <v>28.864334640241001</v>
      </c>
    </row>
    <row r="5" spans="1:3" x14ac:dyDescent="0.3">
      <c r="A5">
        <v>4</v>
      </c>
      <c r="B5">
        <v>236239</v>
      </c>
      <c r="C5" s="13">
        <v>35.484932652720303</v>
      </c>
    </row>
    <row r="6" spans="1:3" x14ac:dyDescent="0.3">
      <c r="A6">
        <v>5</v>
      </c>
      <c r="B6">
        <v>163898</v>
      </c>
      <c r="C6" s="13">
        <v>60.292530139538002</v>
      </c>
    </row>
    <row r="7" spans="1:3" x14ac:dyDescent="0.3">
      <c r="A7" s="1">
        <v>6</v>
      </c>
      <c r="B7" s="2">
        <v>163440</v>
      </c>
      <c r="C7" s="7">
        <v>212.42320354148299</v>
      </c>
    </row>
    <row r="8" spans="1:3" x14ac:dyDescent="0.3">
      <c r="A8" s="3">
        <v>7</v>
      </c>
      <c r="B8" s="4">
        <v>237234</v>
      </c>
      <c r="C8" s="14">
        <v>139.94169650985901</v>
      </c>
    </row>
    <row r="9" spans="1:3" x14ac:dyDescent="0.3">
      <c r="A9" s="1">
        <v>8</v>
      </c>
      <c r="B9" s="2">
        <v>208578</v>
      </c>
      <c r="C9" s="7">
        <v>137.72700477202301</v>
      </c>
    </row>
    <row r="10" spans="1:3" x14ac:dyDescent="0.3">
      <c r="A10">
        <v>9</v>
      </c>
      <c r="B10">
        <v>132065</v>
      </c>
      <c r="C10" s="13">
        <v>45.857188366183301</v>
      </c>
    </row>
    <row r="11" spans="1:3" x14ac:dyDescent="0.3">
      <c r="A11">
        <v>10</v>
      </c>
      <c r="B11">
        <v>104992</v>
      </c>
      <c r="C11" s="13">
        <v>36.979440585092199</v>
      </c>
    </row>
    <row r="12" spans="1:3" x14ac:dyDescent="0.3">
      <c r="A12">
        <v>11</v>
      </c>
      <c r="B12">
        <v>93637</v>
      </c>
      <c r="C12" s="13">
        <v>22.326616891239599</v>
      </c>
    </row>
    <row r="13" spans="1:3" x14ac:dyDescent="0.3">
      <c r="A13">
        <v>12</v>
      </c>
      <c r="B13">
        <v>58819</v>
      </c>
      <c r="C13" s="13">
        <v>15.2196232321189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6CBD6-D563-42BF-8774-70338FFBC6A8}">
  <dimension ref="A1:C4"/>
  <sheetViews>
    <sheetView tabSelected="1" topLeftCell="H16" workbookViewId="0">
      <selection activeCell="J41" sqref="J41"/>
    </sheetView>
  </sheetViews>
  <sheetFormatPr defaultRowHeight="14.4" x14ac:dyDescent="0.3"/>
  <cols>
    <col min="3" max="3" width="12.5546875" bestFit="1" customWidth="1"/>
    <col min="8" max="8" width="10.33203125" customWidth="1"/>
  </cols>
  <sheetData>
    <row r="1" spans="1:3" x14ac:dyDescent="0.3">
      <c r="A1" s="6" t="s">
        <v>20</v>
      </c>
    </row>
    <row r="2" spans="1:3" x14ac:dyDescent="0.3">
      <c r="B2" s="11" t="s">
        <v>82</v>
      </c>
      <c r="C2" s="8">
        <v>1880465</v>
      </c>
    </row>
    <row r="3" spans="1:3" ht="43.2" x14ac:dyDescent="0.3">
      <c r="B3" s="12" t="s">
        <v>80</v>
      </c>
      <c r="C3" s="9">
        <v>140132549.55000001</v>
      </c>
    </row>
    <row r="4" spans="1:3" ht="28.8" x14ac:dyDescent="0.3">
      <c r="B4" s="12" t="s">
        <v>81</v>
      </c>
      <c r="C4" s="10">
        <v>73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BD83234-E6FE-4743-B481-19EFFAB04FD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Yearly trends (view)</vt:lpstr>
      <vt:lpstr>Top 10 states by number of fire</vt:lpstr>
      <vt:lpstr>Top 10 states by average fire s</vt:lpstr>
      <vt:lpstr>Top 5 largest fires</vt:lpstr>
      <vt:lpstr>The biggest fire for each year</vt:lpstr>
      <vt:lpstr>Size class</vt:lpstr>
      <vt:lpstr>Overall statistics</vt:lpstr>
      <vt:lpstr>Number of fires by month</vt:lpstr>
      <vt:lpstr>Causes(%)</vt:lpstr>
      <vt:lpstr>Causes (Number and area by reas</vt:lpstr>
      <vt:lpstr>Average fire size by month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Ilian Iliev</dc:creator>
  <cp:lastModifiedBy>Ilian Iliev</cp:lastModifiedBy>
  <dcterms:created xsi:type="dcterms:W3CDTF">2026-03-01T21:48:27Z</dcterms:created>
  <dcterms:modified xsi:type="dcterms:W3CDTF">2026-03-03T21:27:29Z</dcterms:modified>
</cp:coreProperties>
</file>